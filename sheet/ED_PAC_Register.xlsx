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55257"/>
    </font>
    <font>
      <b val="1"/>
      <color rgb="008A4B00"/>
    </font>
    <font>
      <b val="1"/>
    </font>
  </fonts>
  <fills count="5">
    <fill>
      <patternFill/>
    </fill>
    <fill>
      <patternFill patternType="gray125"/>
    </fill>
    <fill>
      <patternFill patternType="solid">
        <fgColor rgb="00055257"/>
      </patternFill>
    </fill>
    <fill>
      <patternFill patternType="solid">
        <fgColor rgb="00E0F5F6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B8D8DA"/>
      </left>
      <right style="thin">
        <color rgb="00B8D8DA"/>
      </right>
      <top style="thin">
        <color rgb="00B8D8DA"/>
      </top>
      <bottom style="thin">
        <color rgb="00B8D8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7">
    <dxf>
      <font>
        <color rgb="00C0392B"/>
      </font>
      <fill>
        <patternFill patternType="solid">
          <fgColor rgb="00FDE8E6"/>
        </patternFill>
      </fill>
    </dxf>
    <dxf>
      <font>
        <color rgb="001A7C4A"/>
      </font>
      <fill>
        <patternFill patternType="solid">
          <fgColor rgb="00E6F7EE"/>
        </patternFill>
      </fill>
    </dxf>
    <dxf>
      <font>
        <color rgb="00055257"/>
      </font>
      <fill>
        <patternFill patternType="solid">
          <fgColor rgb="00E0F5F6"/>
        </patternFill>
      </fill>
    </dxf>
    <dxf>
      <font>
        <color rgb="001A4C82"/>
      </font>
      <fill>
        <patternFill patternType="solid">
          <fgColor rgb="00E6F0FA"/>
        </patternFill>
      </fill>
    </dxf>
    <dxf>
      <font>
        <color rgb="008A4B00"/>
      </font>
      <fill>
        <patternFill patternType="solid">
          <fgColor rgb="00FFF4E0"/>
        </patternFill>
      </fill>
    </dxf>
    <dxf>
      <font>
        <color rgb="006B3EA0"/>
      </font>
      <fill>
        <patternFill patternType="solid">
          <fgColor rgb="00F3EEFF"/>
        </patternFill>
      </fill>
    </dxf>
    <dxf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12" customWidth="1" min="4" max="4"/>
    <col width="17" customWidth="1" min="5" max="5"/>
    <col width="13" customWidth="1" min="6" max="6"/>
    <col width="6" customWidth="1" min="7" max="7"/>
    <col width="9" customWidth="1" min="8" max="8"/>
    <col width="10" customWidth="1" min="9" max="9"/>
    <col width="21" customWidth="1" min="10" max="10"/>
    <col width="13" customWidth="1" min="11" max="11"/>
    <col width="17" customWidth="1" min="12" max="12"/>
    <col width="19" customWidth="1" min="13" max="13"/>
    <col width="13" customWidth="1" min="14" max="14"/>
    <col width="18" customWidth="1" min="15" max="15"/>
    <col width="18" customWidth="1" min="16" max="16"/>
    <col width="18" customWidth="1" min="17" max="17"/>
    <col width="11" customWidth="1" min="18" max="18"/>
    <col width="11" customWidth="1" min="19" max="19"/>
    <col width="11" customWidth="1" min="20" max="20"/>
    <col width="18" customWidth="1" min="21" max="21"/>
  </cols>
  <sheetData>
    <row r="1" ht="32" customHeight="1">
      <c r="A1" s="1" t="inlineStr">
        <is>
          <t>EMERGENCY DEPARTMENT &amp; PAC — PATIENT TRACKING REGISTER   |   Hospital Tengku Permaisuri Norashikin, Kajang</t>
        </is>
      </c>
    </row>
    <row r="2" ht="42" customHeight="1">
      <c r="A2" s="2" t="inlineStr">
        <is>
          <t>Location</t>
        </is>
      </c>
      <c r="B2" s="2" t="inlineStr">
        <is>
          <t>Triage Date/Time</t>
        </is>
      </c>
      <c r="C2" s="2" t="inlineStr">
        <is>
          <t>Full Name</t>
        </is>
      </c>
      <c r="D2" s="2" t="inlineStr">
        <is>
          <t>Initial</t>
        </is>
      </c>
      <c r="E2" s="2" t="inlineStr">
        <is>
          <t>IC / Passport</t>
        </is>
      </c>
      <c r="F2" s="2" t="inlineStr">
        <is>
          <t>MRN</t>
        </is>
      </c>
      <c r="G2" s="2" t="inlineStr">
        <is>
          <t>Age</t>
        </is>
      </c>
      <c r="H2" s="2" t="inlineStr">
        <is>
          <t>Gender</t>
        </is>
      </c>
      <c r="I2" s="2" t="inlineStr">
        <is>
          <t>Zone Code</t>
        </is>
      </c>
      <c r="J2" s="2" t="inlineStr">
        <is>
          <t>Bed / Position Code</t>
        </is>
      </c>
      <c r="K2" s="2" t="inlineStr">
        <is>
          <t>Current Zone</t>
        </is>
      </c>
      <c r="L2" s="2" t="inlineStr">
        <is>
          <t>Status</t>
        </is>
      </c>
      <c r="M2" s="2" t="inlineStr">
        <is>
          <t>Referred To</t>
        </is>
      </c>
      <c r="N2" s="2" t="inlineStr">
        <is>
          <t>Queue No. (GZ only)</t>
        </is>
      </c>
      <c r="O2" s="2" t="inlineStr">
        <is>
          <t>Called into GZ Room</t>
        </is>
      </c>
      <c r="P2" s="2" t="inlineStr">
        <is>
          <t>Pre-admit Date/Time</t>
        </is>
      </c>
      <c r="Q2" s="2" t="inlineStr">
        <is>
          <t>Admit Date/Time</t>
        </is>
      </c>
      <c r="R2" s="2" t="inlineStr">
        <is>
          <t>BWT (hh:mm)</t>
        </is>
      </c>
      <c r="S2" s="2" t="inlineStr">
        <is>
          <t>TWT (hh:mm)</t>
        </is>
      </c>
      <c r="T2" s="2" t="inlineStr">
        <is>
          <t>GZWT (hh:mm)</t>
        </is>
      </c>
      <c r="U2" s="2" t="inlineStr">
        <is>
          <t>Discharge Date/Time</t>
        </is>
      </c>
    </row>
    <row r="3">
      <c r="A3" t="inlineStr">
        <is>
          <t>ED BU</t>
        </is>
      </c>
      <c r="B3" s="3" t="n">
        <v>45721.30277777778</v>
      </c>
      <c r="C3" t="inlineStr">
        <is>
          <t>Nurul binti Salleh</t>
        </is>
      </c>
      <c r="D3" t="inlineStr">
        <is>
          <t>Nurul</t>
        </is>
      </c>
      <c r="E3" s="4" t="inlineStr">
        <is>
          <t>570626-09-2890</t>
        </is>
      </c>
      <c r="F3" t="inlineStr">
        <is>
          <t>MRN284939</t>
        </is>
      </c>
      <c r="G3" s="5" t="n">
        <v>68</v>
      </c>
      <c r="H3" t="inlineStr">
        <is>
          <t>Female</t>
        </is>
      </c>
      <c r="I3" t="inlineStr">
        <is>
          <t>yz</t>
        </is>
      </c>
      <c r="J3" t="inlineStr">
        <is>
          <t>buyz42crisis</t>
        </is>
      </c>
      <c r="K3" t="inlineStr">
        <is>
          <t>yz</t>
        </is>
      </c>
      <c r="L3" t="inlineStr">
        <is>
          <t>ongoingtreatment</t>
        </is>
      </c>
      <c r="N3" s="4" t="n"/>
      <c r="R3" s="6">
        <f>IF(OR(Q3="",P3=""),"",TEXT(Q3-P3,"[h]:mm"))</f>
        <v/>
      </c>
      <c r="S3" s="6">
        <f>IF(B3="","",IF(Q3&lt;&gt;"",TEXT(Q3-B3,"[h]:mm"),IF(U3&lt;&gt;"",TEXT(U3-B3,"[h]:mm"),"")))</f>
        <v/>
      </c>
      <c r="T3" s="6">
        <f>IF(OR(O3="",B3=""),"",TEXT(O3-B3,"[h]:mm"))</f>
        <v/>
      </c>
    </row>
    <row r="4">
      <c r="A4" t="inlineStr">
        <is>
          <t>ED WCC</t>
        </is>
      </c>
      <c r="B4" s="3" t="n">
        <v>45721.30347222222</v>
      </c>
      <c r="C4" t="inlineStr">
        <is>
          <t>Faizal bin Osman</t>
        </is>
      </c>
      <c r="D4" t="inlineStr">
        <is>
          <t>Faizal</t>
        </is>
      </c>
      <c r="E4" s="4" t="inlineStr">
        <is>
          <t>810302-14-1736</t>
        </is>
      </c>
      <c r="F4" t="inlineStr">
        <is>
          <t>MRN145456</t>
        </is>
      </c>
      <c r="G4" s="5" t="n">
        <v>44</v>
      </c>
      <c r="H4" t="inlineStr">
        <is>
          <t>Male</t>
        </is>
      </c>
      <c r="I4" t="inlineStr">
        <is>
          <t>ob</t>
        </is>
      </c>
      <c r="J4" t="inlineStr">
        <is>
          <t>wccob08</t>
        </is>
      </c>
      <c r="K4" t="inlineStr">
        <is>
          <t>ob</t>
        </is>
      </c>
      <c r="L4" t="inlineStr">
        <is>
          <t>admitted</t>
        </is>
      </c>
      <c r="M4" t="inlineStr">
        <is>
          <t>Paediatric</t>
        </is>
      </c>
      <c r="N4" s="4" t="n"/>
      <c r="P4" s="3" t="n">
        <v>45721.38888888889</v>
      </c>
      <c r="Q4" s="3" t="n">
        <v>45721.5125</v>
      </c>
      <c r="R4" s="6">
        <f>IF(OR(Q4="",P4=""),"",TEXT(Q4-P4,"[h]:mm"))</f>
        <v/>
      </c>
      <c r="S4" s="6">
        <f>IF(B4="","",IF(Q4&lt;&gt;"",TEXT(Q4-B4,"[h]:mm"),IF(U4&lt;&gt;"",TEXT(U4-B4,"[h]:mm"),"")))</f>
        <v/>
      </c>
      <c r="T4" s="6">
        <f>IF(OR(O4="",B4=""),"",TEXT(O4-B4,"[h]:mm"))</f>
        <v/>
      </c>
    </row>
    <row r="5">
      <c r="A5" t="inlineStr">
        <is>
          <t>ED BU</t>
        </is>
      </c>
      <c r="B5" s="3" t="n">
        <v>45721.30486111111</v>
      </c>
      <c r="C5" t="inlineStr">
        <is>
          <t>Hafiz binti Osman</t>
        </is>
      </c>
      <c r="D5" t="inlineStr">
        <is>
          <t>Hafiz</t>
        </is>
      </c>
      <c r="E5" s="4" t="inlineStr">
        <is>
          <t>440325-14-1799</t>
        </is>
      </c>
      <c r="F5" t="inlineStr">
        <is>
          <t>MRN646735</t>
        </is>
      </c>
      <c r="G5" s="5" t="n">
        <v>81</v>
      </c>
      <c r="H5" t="inlineStr">
        <is>
          <t>Female</t>
        </is>
      </c>
      <c r="I5" t="inlineStr">
        <is>
          <t>yz</t>
        </is>
      </c>
      <c r="J5" t="inlineStr">
        <is>
          <t>buyz17crisis</t>
        </is>
      </c>
      <c r="K5" t="inlineStr">
        <is>
          <t>yz</t>
        </is>
      </c>
      <c r="L5" t="inlineStr">
        <is>
          <t>preadmit</t>
        </is>
      </c>
      <c r="M5" t="inlineStr">
        <is>
          <t>Medical</t>
        </is>
      </c>
      <c r="N5" s="4" t="n"/>
      <c r="P5" s="3" t="n">
        <v>45721.49791666667</v>
      </c>
      <c r="R5" s="6">
        <f>IF(OR(Q5="",P5=""),"",TEXT(Q5-P5,"[h]:mm"))</f>
        <v/>
      </c>
      <c r="S5" s="6">
        <f>IF(B5="","",IF(Q5&lt;&gt;"",TEXT(Q5-B5,"[h]:mm"),IF(U5&lt;&gt;"",TEXT(U5-B5,"[h]:mm"),"")))</f>
        <v/>
      </c>
      <c r="T5" s="6">
        <f>IF(OR(O5="",B5=""),"",TEXT(O5-B5,"[h]:mm"))</f>
        <v/>
      </c>
    </row>
    <row r="6">
      <c r="A6" t="inlineStr">
        <is>
          <t>PAC WCC</t>
        </is>
      </c>
      <c r="B6" s="3" t="n">
        <v>45721.30486111111</v>
      </c>
      <c r="C6" t="inlineStr">
        <is>
          <t>Norliza binti Osman</t>
        </is>
      </c>
      <c r="D6" t="inlineStr">
        <is>
          <t>Norliza</t>
        </is>
      </c>
      <c r="E6" s="4" t="inlineStr">
        <is>
          <t>050915-14-1687</t>
        </is>
      </c>
      <c r="F6" t="inlineStr">
        <is>
          <t>MRN913632</t>
        </is>
      </c>
      <c r="G6" s="5" t="n">
        <v>20</v>
      </c>
      <c r="H6" t="inlineStr">
        <is>
          <t>Female</t>
        </is>
      </c>
      <c r="I6" t="inlineStr">
        <is>
          <t>pac</t>
        </is>
      </c>
      <c r="J6" t="inlineStr">
        <is>
          <t>wccpac15crisis</t>
        </is>
      </c>
      <c r="K6" t="inlineStr">
        <is>
          <t>pac</t>
        </is>
      </c>
      <c r="L6" t="inlineStr">
        <is>
          <t>preadmit</t>
        </is>
      </c>
      <c r="M6" t="inlineStr">
        <is>
          <t>Special Needs Dental</t>
        </is>
      </c>
      <c r="N6" s="4" t="n"/>
      <c r="P6" s="3" t="n">
        <v>45721.38888888889</v>
      </c>
      <c r="R6" s="6">
        <f>IF(OR(Q6="",P6=""),"",TEXT(Q6-P6,"[h]:mm"))</f>
        <v/>
      </c>
      <c r="S6" s="6">
        <f>IF(B6="","",IF(Q6&lt;&gt;"",TEXT(Q6-B6,"[h]:mm"),IF(U6&lt;&gt;"",TEXT(U6-B6,"[h]:mm"),"")))</f>
        <v/>
      </c>
      <c r="T6" s="6">
        <f>IF(OR(O6="",B6=""),"",TEXT(O6-B6,"[h]:mm"))</f>
        <v/>
      </c>
    </row>
    <row r="7">
      <c r="A7" t="inlineStr">
        <is>
          <t>ED BU</t>
        </is>
      </c>
      <c r="B7" s="3" t="n">
        <v>45721.30694444444</v>
      </c>
      <c r="C7" t="inlineStr">
        <is>
          <t>Suraya binti Hamid</t>
        </is>
      </c>
      <c r="D7" t="inlineStr">
        <is>
          <t>Suraya</t>
        </is>
      </c>
      <c r="E7" s="4" t="inlineStr">
        <is>
          <t>860601-10-8540</t>
        </is>
      </c>
      <c r="F7" t="inlineStr">
        <is>
          <t>MRN805398</t>
        </is>
      </c>
      <c r="G7" s="5" t="n">
        <v>39</v>
      </c>
      <c r="H7" t="inlineStr">
        <is>
          <t>Female</t>
        </is>
      </c>
      <c r="I7" t="inlineStr">
        <is>
          <t>yz</t>
        </is>
      </c>
      <c r="J7" t="inlineStr">
        <is>
          <t>buyz22crisis</t>
        </is>
      </c>
      <c r="K7" t="inlineStr">
        <is>
          <t>yz</t>
        </is>
      </c>
      <c r="L7" t="inlineStr">
        <is>
          <t>discharge</t>
        </is>
      </c>
      <c r="N7" s="4" t="n"/>
      <c r="R7" s="6">
        <f>IF(OR(Q7="",P7=""),"",TEXT(Q7-P7,"[h]:mm"))</f>
        <v/>
      </c>
      <c r="S7" s="6">
        <f>IF(B7="","",IF(Q7&lt;&gt;"",TEXT(Q7-B7,"[h]:mm"),IF(U7&lt;&gt;"",TEXT(U7-B7,"[h]:mm"),"")))</f>
        <v/>
      </c>
      <c r="T7" s="6">
        <f>IF(OR(O7="",B7=""),"",TEXT(O7-B7,"[h]:mm"))</f>
        <v/>
      </c>
      <c r="U7" s="3" t="n">
        <v>45721.50277777778</v>
      </c>
    </row>
    <row r="8">
      <c r="A8" t="inlineStr">
        <is>
          <t>ED BU</t>
        </is>
      </c>
      <c r="B8" s="3" t="n">
        <v>45721.31041666667</v>
      </c>
      <c r="C8" t="inlineStr">
        <is>
          <t>Anis bin Ibrahim</t>
        </is>
      </c>
      <c r="D8" t="inlineStr">
        <is>
          <t>Anis</t>
        </is>
      </c>
      <c r="E8" s="4" t="inlineStr">
        <is>
          <t>910312-06-8847</t>
        </is>
      </c>
      <c r="F8" t="inlineStr">
        <is>
          <t>MRN431129</t>
        </is>
      </c>
      <c r="G8" s="5" t="n">
        <v>34</v>
      </c>
      <c r="H8" t="inlineStr">
        <is>
          <t>Male</t>
        </is>
      </c>
      <c r="I8" t="inlineStr">
        <is>
          <t>yz</t>
        </is>
      </c>
      <c r="J8" t="inlineStr">
        <is>
          <t>buyz31crisis</t>
        </is>
      </c>
      <c r="K8" t="inlineStr">
        <is>
          <t>yz</t>
        </is>
      </c>
      <c r="L8" t="inlineStr">
        <is>
          <t>preadmit</t>
        </is>
      </c>
      <c r="M8" t="inlineStr">
        <is>
          <t>Special Needs Dental</t>
        </is>
      </c>
      <c r="N8" s="4" t="n"/>
      <c r="P8" s="3" t="n">
        <v>45721.3625</v>
      </c>
      <c r="R8" s="6">
        <f>IF(OR(Q8="",P8=""),"",TEXT(Q8-P8,"[h]:mm"))</f>
        <v/>
      </c>
      <c r="S8" s="6">
        <f>IF(B8="","",IF(Q8&lt;&gt;"",TEXT(Q8-B8,"[h]:mm"),IF(U8&lt;&gt;"",TEXT(U8-B8,"[h]:mm"),"")))</f>
        <v/>
      </c>
      <c r="T8" s="6">
        <f>IF(OR(O8="",B8=""),"",TEXT(O8-B8,"[h]:mm"))</f>
        <v/>
      </c>
    </row>
    <row r="9">
      <c r="A9" t="inlineStr">
        <is>
          <t>ED WCC</t>
        </is>
      </c>
      <c r="B9" s="3" t="n">
        <v>45721.31388888889</v>
      </c>
      <c r="C9" t="inlineStr">
        <is>
          <t>Rizal binti Hassan</t>
        </is>
      </c>
      <c r="D9" t="inlineStr">
        <is>
          <t>Rizal</t>
        </is>
      </c>
      <c r="E9" s="4" t="inlineStr">
        <is>
          <t>070305-11-1624</t>
        </is>
      </c>
      <c r="F9" t="inlineStr">
        <is>
          <t>MRN536346</t>
        </is>
      </c>
      <c r="G9" s="5" t="n">
        <v>18</v>
      </c>
      <c r="H9" t="inlineStr">
        <is>
          <t>Female</t>
        </is>
      </c>
      <c r="I9" t="inlineStr">
        <is>
          <t>ob</t>
        </is>
      </c>
      <c r="J9" t="inlineStr">
        <is>
          <t>wccob01</t>
        </is>
      </c>
      <c r="K9" t="inlineStr">
        <is>
          <t>ob</t>
        </is>
      </c>
      <c r="L9" t="inlineStr">
        <is>
          <t>ongoingtreatment</t>
        </is>
      </c>
      <c r="N9" s="4" t="n"/>
      <c r="R9" s="6">
        <f>IF(OR(Q9="",P9=""),"",TEXT(Q9-P9,"[h]:mm"))</f>
        <v/>
      </c>
      <c r="S9" s="6">
        <f>IF(B9="","",IF(Q9&lt;&gt;"",TEXT(Q9-B9,"[h]:mm"),IF(U9&lt;&gt;"",TEXT(U9-B9,"[h]:mm"),"")))</f>
        <v/>
      </c>
      <c r="T9" s="6">
        <f>IF(OR(O9="",B9=""),"",TEXT(O9-B9,"[h]:mm"))</f>
        <v/>
      </c>
    </row>
    <row r="10">
      <c r="A10" t="inlineStr">
        <is>
          <t>ED WCC</t>
        </is>
      </c>
      <c r="B10" s="3" t="n">
        <v>45721.31875</v>
      </c>
      <c r="C10" t="inlineStr">
        <is>
          <t>Syed binti Rahman</t>
        </is>
      </c>
      <c r="D10" t="inlineStr">
        <is>
          <t>Syed</t>
        </is>
      </c>
      <c r="E10" s="4" t="inlineStr">
        <is>
          <t>600523-14-6189</t>
        </is>
      </c>
      <c r="F10" t="inlineStr">
        <is>
          <t>MRN840735</t>
        </is>
      </c>
      <c r="G10" s="5" t="n">
        <v>65</v>
      </c>
      <c r="H10" t="inlineStr">
        <is>
          <t>Female</t>
        </is>
      </c>
      <c r="I10" t="inlineStr">
        <is>
          <t>yz</t>
        </is>
      </c>
      <c r="J10" t="inlineStr">
        <is>
          <t>wccyz07crisis</t>
        </is>
      </c>
      <c r="K10" t="inlineStr">
        <is>
          <t>yz</t>
        </is>
      </c>
      <c r="L10" t="inlineStr">
        <is>
          <t>ongoingtreatment</t>
        </is>
      </c>
      <c r="N10" s="4" t="n"/>
      <c r="R10" s="6">
        <f>IF(OR(Q10="",P10=""),"",TEXT(Q10-P10,"[h]:mm"))</f>
        <v/>
      </c>
      <c r="S10" s="6">
        <f>IF(B10="","",IF(Q10&lt;&gt;"",TEXT(Q10-B10,"[h]:mm"),IF(U10&lt;&gt;"",TEXT(U10-B10,"[h]:mm"),"")))</f>
        <v/>
      </c>
      <c r="T10" s="6">
        <f>IF(OR(O10="",B10=""),"",TEXT(O10-B10,"[h]:mm"))</f>
        <v/>
      </c>
    </row>
    <row r="11">
      <c r="A11" t="inlineStr">
        <is>
          <t>ED WCC</t>
        </is>
      </c>
      <c r="B11" s="3" t="n">
        <v>45721.31875</v>
      </c>
      <c r="C11" t="inlineStr">
        <is>
          <t>Norizan binti Rahman</t>
        </is>
      </c>
      <c r="D11" t="inlineStr">
        <is>
          <t>Norizan</t>
        </is>
      </c>
      <c r="E11" s="4" t="inlineStr">
        <is>
          <t>020112-12-1621</t>
        </is>
      </c>
      <c r="F11" t="inlineStr">
        <is>
          <t>MRN702264</t>
        </is>
      </c>
      <c r="G11" s="5" t="n">
        <v>23</v>
      </c>
      <c r="H11" t="inlineStr">
        <is>
          <t>Female</t>
        </is>
      </c>
      <c r="I11" t="inlineStr">
        <is>
          <t>yz</t>
        </is>
      </c>
      <c r="J11" t="inlineStr">
        <is>
          <t>wccyz12crisis</t>
        </is>
      </c>
      <c r="K11" t="inlineStr">
        <is>
          <t>yz</t>
        </is>
      </c>
      <c r="L11" t="inlineStr">
        <is>
          <t>admitted</t>
        </is>
      </c>
      <c r="M11" t="inlineStr">
        <is>
          <t>Paediatric Dental</t>
        </is>
      </c>
      <c r="N11" s="4" t="n"/>
      <c r="P11" s="3" t="n">
        <v>45721.38819444444</v>
      </c>
      <c r="Q11" s="3" t="n">
        <v>45721.47152777778</v>
      </c>
      <c r="R11" s="6">
        <f>IF(OR(Q11="",P11=""),"",TEXT(Q11-P11,"[h]:mm"))</f>
        <v/>
      </c>
      <c r="S11" s="6">
        <f>IF(B11="","",IF(Q11&lt;&gt;"",TEXT(Q11-B11,"[h]:mm"),IF(U11&lt;&gt;"",TEXT(U11-B11,"[h]:mm"),"")))</f>
        <v/>
      </c>
      <c r="T11" s="6">
        <f>IF(OR(O11="",B11=""),"",TEXT(O11-B11,"[h]:mm"))</f>
        <v/>
      </c>
    </row>
    <row r="12">
      <c r="A12" t="inlineStr">
        <is>
          <t>ED WCC</t>
        </is>
      </c>
      <c r="B12" s="3" t="n">
        <v>45721.32986111111</v>
      </c>
      <c r="C12" t="inlineStr">
        <is>
          <t>Siti bin Yusof</t>
        </is>
      </c>
      <c r="D12" t="inlineStr">
        <is>
          <t>Siti</t>
        </is>
      </c>
      <c r="E12" s="4" t="inlineStr">
        <is>
          <t>610811-11-0727</t>
        </is>
      </c>
      <c r="F12" t="inlineStr">
        <is>
          <t>MRN499123</t>
        </is>
      </c>
      <c r="G12" s="5" t="n">
        <v>64</v>
      </c>
      <c r="H12" t="inlineStr">
        <is>
          <t>Male</t>
        </is>
      </c>
      <c r="I12" t="inlineStr">
        <is>
          <t>rz</t>
        </is>
      </c>
      <c r="J12" t="inlineStr">
        <is>
          <t>wccrz09crisis</t>
        </is>
      </c>
      <c r="K12" t="inlineStr">
        <is>
          <t>rz</t>
        </is>
      </c>
      <c r="L12" t="inlineStr">
        <is>
          <t>referred</t>
        </is>
      </c>
      <c r="M12" t="inlineStr">
        <is>
          <t>OMFS</t>
        </is>
      </c>
      <c r="N12" s="4" t="n"/>
      <c r="R12" s="6">
        <f>IF(OR(Q12="",P12=""),"",TEXT(Q12-P12,"[h]:mm"))</f>
        <v/>
      </c>
      <c r="S12" s="6">
        <f>IF(B12="","",IF(Q12&lt;&gt;"",TEXT(Q12-B12,"[h]:mm"),IF(U12&lt;&gt;"",TEXT(U12-B12,"[h]:mm"),"")))</f>
        <v/>
      </c>
      <c r="T12" s="6">
        <f>IF(OR(O12="",B12=""),"",TEXT(O12-B12,"[h]:mm"))</f>
        <v/>
      </c>
    </row>
    <row r="13">
      <c r="A13" t="inlineStr">
        <is>
          <t>ED WCC</t>
        </is>
      </c>
      <c r="B13" s="3" t="n">
        <v>45721.33472222222</v>
      </c>
      <c r="C13" t="inlineStr">
        <is>
          <t>Siti bin Salleh</t>
        </is>
      </c>
      <c r="D13" t="inlineStr">
        <is>
          <t>Siti</t>
        </is>
      </c>
      <c r="E13" s="4" t="inlineStr">
        <is>
          <t>821203-08-9953</t>
        </is>
      </c>
      <c r="F13" t="inlineStr">
        <is>
          <t>MRN177063</t>
        </is>
      </c>
      <c r="G13" s="5" t="n">
        <v>43</v>
      </c>
      <c r="H13" t="inlineStr">
        <is>
          <t>Male</t>
        </is>
      </c>
      <c r="I13" t="inlineStr">
        <is>
          <t>yz</t>
        </is>
      </c>
      <c r="J13" t="inlineStr">
        <is>
          <t>wccyz11crisis</t>
        </is>
      </c>
      <c r="K13" t="inlineStr">
        <is>
          <t>yz</t>
        </is>
      </c>
      <c r="L13" t="inlineStr">
        <is>
          <t>ongoingtreatment</t>
        </is>
      </c>
      <c r="N13" s="4" t="n"/>
      <c r="R13" s="6">
        <f>IF(OR(Q13="",P13=""),"",TEXT(Q13-P13,"[h]:mm"))</f>
        <v/>
      </c>
      <c r="S13" s="6">
        <f>IF(B13="","",IF(Q13&lt;&gt;"",TEXT(Q13-B13,"[h]:mm"),IF(U13&lt;&gt;"",TEXT(U13-B13,"[h]:mm"),"")))</f>
        <v/>
      </c>
      <c r="T13" s="6">
        <f>IF(OR(O13="",B13=""),"",TEXT(O13-B13,"[h]:mm"))</f>
        <v/>
      </c>
    </row>
    <row r="14">
      <c r="A14" t="inlineStr">
        <is>
          <t>ED BU</t>
        </is>
      </c>
      <c r="B14" s="3" t="n">
        <v>45721.33472222222</v>
      </c>
      <c r="C14" t="inlineStr">
        <is>
          <t>Farah bin Hamid</t>
        </is>
      </c>
      <c r="D14" t="inlineStr">
        <is>
          <t>Farah</t>
        </is>
      </c>
      <c r="E14" s="4" t="inlineStr">
        <is>
          <t>871217-04-3382</t>
        </is>
      </c>
      <c r="F14" t="inlineStr">
        <is>
          <t>MRN390994</t>
        </is>
      </c>
      <c r="G14" s="5" t="n">
        <v>38</v>
      </c>
      <c r="H14" t="inlineStr">
        <is>
          <t>Male</t>
        </is>
      </c>
      <c r="I14" t="inlineStr">
        <is>
          <t>yz</t>
        </is>
      </c>
      <c r="J14" t="inlineStr">
        <is>
          <t>buyz50crisis</t>
        </is>
      </c>
      <c r="K14" t="inlineStr">
        <is>
          <t>yz</t>
        </is>
      </c>
      <c r="L14" t="inlineStr">
        <is>
          <t>preadmit</t>
        </is>
      </c>
      <c r="M14" t="inlineStr">
        <is>
          <t>Paediatric</t>
        </is>
      </c>
      <c r="N14" s="4" t="n"/>
      <c r="P14" s="3" t="n">
        <v>45721.43472222222</v>
      </c>
      <c r="R14" s="6">
        <f>IF(OR(Q14="",P14=""),"",TEXT(Q14-P14,"[h]:mm"))</f>
        <v/>
      </c>
      <c r="S14" s="6">
        <f>IF(B14="","",IF(Q14&lt;&gt;"",TEXT(Q14-B14,"[h]:mm"),IF(U14&lt;&gt;"",TEXT(U14-B14,"[h]:mm"),"")))</f>
        <v/>
      </c>
      <c r="T14" s="6">
        <f>IF(OR(O14="",B14=""),"",TEXT(O14-B14,"[h]:mm"))</f>
        <v/>
      </c>
    </row>
    <row r="15">
      <c r="A15" t="inlineStr">
        <is>
          <t>ED BU</t>
        </is>
      </c>
      <c r="B15" s="3" t="n">
        <v>45721.33611111111</v>
      </c>
      <c r="C15" t="inlineStr">
        <is>
          <t>Nurul bin Zakaria</t>
        </is>
      </c>
      <c r="D15" t="inlineStr">
        <is>
          <t>Nurul</t>
        </is>
      </c>
      <c r="E15" s="4" t="inlineStr">
        <is>
          <t>560206-03-2625</t>
        </is>
      </c>
      <c r="F15" t="inlineStr">
        <is>
          <t>MRN782885</t>
        </is>
      </c>
      <c r="G15" s="5" t="n">
        <v>69</v>
      </c>
      <c r="H15" t="inlineStr">
        <is>
          <t>Male</t>
        </is>
      </c>
      <c r="I15" t="inlineStr">
        <is>
          <t>yz</t>
        </is>
      </c>
      <c r="J15" t="inlineStr">
        <is>
          <t>buyz47crisis</t>
        </is>
      </c>
      <c r="K15" t="inlineStr">
        <is>
          <t>yz</t>
        </is>
      </c>
      <c r="L15" t="inlineStr">
        <is>
          <t>ongoingtreatment</t>
        </is>
      </c>
      <c r="N15" s="4" t="n"/>
      <c r="R15" s="6">
        <f>IF(OR(Q15="",P15=""),"",TEXT(Q15-P15,"[h]:mm"))</f>
        <v/>
      </c>
      <c r="S15" s="6">
        <f>IF(B15="","",IF(Q15&lt;&gt;"",TEXT(Q15-B15,"[h]:mm"),IF(U15&lt;&gt;"",TEXT(U15-B15,"[h]:mm"),"")))</f>
        <v/>
      </c>
      <c r="T15" s="6">
        <f>IF(OR(O15="",B15=""),"",TEXT(O15-B15,"[h]:mm"))</f>
        <v/>
      </c>
    </row>
    <row r="16">
      <c r="A16" t="inlineStr">
        <is>
          <t>ED WCC</t>
        </is>
      </c>
      <c r="B16" s="3" t="n">
        <v>45721.34444444445</v>
      </c>
      <c r="C16" t="inlineStr">
        <is>
          <t>Mohamed binti Ismail</t>
        </is>
      </c>
      <c r="D16" t="inlineStr">
        <is>
          <t>Mohamed</t>
        </is>
      </c>
      <c r="E16" s="4" t="inlineStr">
        <is>
          <t>190102-13-1487</t>
        </is>
      </c>
      <c r="F16" t="inlineStr">
        <is>
          <t>MRN267149</t>
        </is>
      </c>
      <c r="G16" s="5" t="n">
        <v>6</v>
      </c>
      <c r="H16" t="inlineStr">
        <is>
          <t>Female</t>
        </is>
      </c>
      <c r="I16" t="inlineStr">
        <is>
          <t>ob</t>
        </is>
      </c>
      <c r="J16" t="inlineStr">
        <is>
          <t>wccob02</t>
        </is>
      </c>
      <c r="K16" t="inlineStr">
        <is>
          <t>ob</t>
        </is>
      </c>
      <c r="L16" t="inlineStr">
        <is>
          <t>referred</t>
        </is>
      </c>
      <c r="M16" t="inlineStr">
        <is>
          <t>Psychiatry</t>
        </is>
      </c>
      <c r="N16" s="4" t="n"/>
      <c r="R16" s="6">
        <f>IF(OR(Q16="",P16=""),"",TEXT(Q16-P16,"[h]:mm"))</f>
        <v/>
      </c>
      <c r="S16" s="6">
        <f>IF(B16="","",IF(Q16&lt;&gt;"",TEXT(Q16-B16,"[h]:mm"),IF(U16&lt;&gt;"",TEXT(U16-B16,"[h]:mm"),"")))</f>
        <v/>
      </c>
      <c r="T16" s="6">
        <f>IF(OR(O16="",B16=""),"",TEXT(O16-B16,"[h]:mm"))</f>
        <v/>
      </c>
    </row>
    <row r="17">
      <c r="A17" t="inlineStr">
        <is>
          <t>ED BU</t>
        </is>
      </c>
      <c r="B17" s="3" t="n">
        <v>45721.34791666667</v>
      </c>
      <c r="C17" t="inlineStr">
        <is>
          <t>Syed bin Yusof</t>
        </is>
      </c>
      <c r="D17" t="inlineStr">
        <is>
          <t>Syed</t>
        </is>
      </c>
      <c r="E17" s="4" t="inlineStr">
        <is>
          <t>670104-03-1825</t>
        </is>
      </c>
      <c r="F17" t="inlineStr">
        <is>
          <t>MRN196803</t>
        </is>
      </c>
      <c r="G17" s="5" t="n">
        <v>58</v>
      </c>
      <c r="H17" t="inlineStr">
        <is>
          <t>Male</t>
        </is>
      </c>
      <c r="I17" t="inlineStr">
        <is>
          <t>yz</t>
        </is>
      </c>
      <c r="J17" t="inlineStr">
        <is>
          <t>buyz29crisis</t>
        </is>
      </c>
      <c r="K17" t="inlineStr">
        <is>
          <t>yz</t>
        </is>
      </c>
      <c r="L17" t="inlineStr">
        <is>
          <t>ongoingtreatment</t>
        </is>
      </c>
      <c r="N17" s="4" t="n"/>
      <c r="R17" s="6">
        <f>IF(OR(Q17="",P17=""),"",TEXT(Q17-P17,"[h]:mm"))</f>
        <v/>
      </c>
      <c r="S17" s="6">
        <f>IF(B17="","",IF(Q17&lt;&gt;"",TEXT(Q17-B17,"[h]:mm"),IF(U17&lt;&gt;"",TEXT(U17-B17,"[h]:mm"),"")))</f>
        <v/>
      </c>
      <c r="T17" s="6">
        <f>IF(OR(O17="",B17=""),"",TEXT(O17-B17,"[h]:mm"))</f>
        <v/>
      </c>
    </row>
    <row r="18">
      <c r="A18" t="inlineStr">
        <is>
          <t>ED BU</t>
        </is>
      </c>
      <c r="B18" s="3" t="n">
        <v>45721.35347222222</v>
      </c>
      <c r="C18" t="inlineStr">
        <is>
          <t>Norizan bin Omar</t>
        </is>
      </c>
      <c r="D18" t="inlineStr">
        <is>
          <t>Norizan</t>
        </is>
      </c>
      <c r="E18" s="4" t="inlineStr">
        <is>
          <t>021121-06-5476</t>
        </is>
      </c>
      <c r="F18" t="inlineStr">
        <is>
          <t>MRN304602</t>
        </is>
      </c>
      <c r="G18" s="5" t="n">
        <v>23</v>
      </c>
      <c r="H18" t="inlineStr">
        <is>
          <t>Male</t>
        </is>
      </c>
      <c r="I18" t="inlineStr">
        <is>
          <t>rz</t>
        </is>
      </c>
      <c r="J18" t="inlineStr">
        <is>
          <t>burz03</t>
        </is>
      </c>
      <c r="K18" t="inlineStr">
        <is>
          <t>rz</t>
        </is>
      </c>
      <c r="L18" t="inlineStr">
        <is>
          <t>referred</t>
        </is>
      </c>
      <c r="M18" t="inlineStr">
        <is>
          <t>Paediatric</t>
        </is>
      </c>
      <c r="N18" s="4" t="n"/>
      <c r="R18" s="6">
        <f>IF(OR(Q18="",P18=""),"",TEXT(Q18-P18,"[h]:mm"))</f>
        <v/>
      </c>
      <c r="S18" s="6">
        <f>IF(B18="","",IF(Q18&lt;&gt;"",TEXT(Q18-B18,"[h]:mm"),IF(U18&lt;&gt;"",TEXT(U18-B18,"[h]:mm"),"")))</f>
        <v/>
      </c>
      <c r="T18" s="6">
        <f>IF(OR(O18="",B18=""),"",TEXT(O18-B18,"[h]:mm"))</f>
        <v/>
      </c>
    </row>
    <row r="19">
      <c r="A19" t="inlineStr">
        <is>
          <t>ED WCC</t>
        </is>
      </c>
      <c r="B19" s="3" t="n">
        <v>45721.35486111111</v>
      </c>
      <c r="C19" t="inlineStr">
        <is>
          <t>Anis binti Rahman</t>
        </is>
      </c>
      <c r="D19" t="inlineStr">
        <is>
          <t>Anis</t>
        </is>
      </c>
      <c r="E19" s="4" t="inlineStr">
        <is>
          <t>170413-11-4734</t>
        </is>
      </c>
      <c r="F19" t="inlineStr">
        <is>
          <t>MRN457997</t>
        </is>
      </c>
      <c r="G19" s="5" t="n">
        <v>8</v>
      </c>
      <c r="H19" t="inlineStr">
        <is>
          <t>Female</t>
        </is>
      </c>
      <c r="I19" t="inlineStr">
        <is>
          <t>yz</t>
        </is>
      </c>
      <c r="J19" t="inlineStr">
        <is>
          <t>wccyz08crisis</t>
        </is>
      </c>
      <c r="K19" t="inlineStr">
        <is>
          <t>yz</t>
        </is>
      </c>
      <c r="L19" t="inlineStr">
        <is>
          <t>ongoingtreatment</t>
        </is>
      </c>
      <c r="N19" s="4" t="n"/>
      <c r="R19" s="6">
        <f>IF(OR(Q19="",P19=""),"",TEXT(Q19-P19,"[h]:mm"))</f>
        <v/>
      </c>
      <c r="S19" s="6">
        <f>IF(B19="","",IF(Q19&lt;&gt;"",TEXT(Q19-B19,"[h]:mm"),IF(U19&lt;&gt;"",TEXT(U19-B19,"[h]:mm"),"")))</f>
        <v/>
      </c>
      <c r="T19" s="6">
        <f>IF(OR(O19="",B19=""),"",TEXT(O19-B19,"[h]:mm"))</f>
        <v/>
      </c>
    </row>
    <row r="20">
      <c r="A20" t="inlineStr">
        <is>
          <t>ED BU</t>
        </is>
      </c>
      <c r="B20" s="3" t="n">
        <v>45721.35972222222</v>
      </c>
      <c r="C20" t="inlineStr">
        <is>
          <t>Danial bin Hamid</t>
        </is>
      </c>
      <c r="D20" t="inlineStr">
        <is>
          <t>Danial</t>
        </is>
      </c>
      <c r="E20" s="4" t="inlineStr">
        <is>
          <t>800515-12-8693</t>
        </is>
      </c>
      <c r="F20" t="inlineStr">
        <is>
          <t>MRN175046</t>
        </is>
      </c>
      <c r="G20" s="5" t="n">
        <v>45</v>
      </c>
      <c r="H20" t="inlineStr">
        <is>
          <t>Male</t>
        </is>
      </c>
      <c r="I20" t="inlineStr">
        <is>
          <t>yz</t>
        </is>
      </c>
      <c r="J20" t="inlineStr">
        <is>
          <t>buyz34crisis</t>
        </is>
      </c>
      <c r="K20" t="inlineStr">
        <is>
          <t>yz</t>
        </is>
      </c>
      <c r="L20" t="inlineStr">
        <is>
          <t>ongoingtreatment</t>
        </is>
      </c>
      <c r="N20" s="4" t="n"/>
      <c r="R20" s="6">
        <f>IF(OR(Q20="",P20=""),"",TEXT(Q20-P20,"[h]:mm"))</f>
        <v/>
      </c>
      <c r="S20" s="6">
        <f>IF(B20="","",IF(Q20&lt;&gt;"",TEXT(Q20-B20,"[h]:mm"),IF(U20&lt;&gt;"",TEXT(U20-B20,"[h]:mm"),"")))</f>
        <v/>
      </c>
      <c r="T20" s="6">
        <f>IF(OR(O20="",B20=""),"",TEXT(O20-B20,"[h]:mm"))</f>
        <v/>
      </c>
    </row>
    <row r="21">
      <c r="A21" t="inlineStr">
        <is>
          <t>ED WCC</t>
        </is>
      </c>
      <c r="B21" s="3" t="n">
        <v>45721.3625</v>
      </c>
      <c r="C21" t="inlineStr">
        <is>
          <t>Zuraidah bin Abdullah</t>
        </is>
      </c>
      <c r="D21" t="inlineStr">
        <is>
          <t>Zuraidah</t>
        </is>
      </c>
      <c r="E21" s="4" t="inlineStr">
        <is>
          <t>610501-09-4768</t>
        </is>
      </c>
      <c r="F21" t="inlineStr">
        <is>
          <t>MRN503336</t>
        </is>
      </c>
      <c r="G21" s="5" t="n">
        <v>64</v>
      </c>
      <c r="H21" t="inlineStr">
        <is>
          <t>Male</t>
        </is>
      </c>
      <c r="I21" t="inlineStr">
        <is>
          <t>ob</t>
        </is>
      </c>
      <c r="J21" t="inlineStr">
        <is>
          <t>wccob10crisis</t>
        </is>
      </c>
      <c r="K21" t="inlineStr">
        <is>
          <t>ob</t>
        </is>
      </c>
      <c r="L21" t="inlineStr">
        <is>
          <t>ongoingtreatment</t>
        </is>
      </c>
      <c r="N21" s="4" t="n"/>
      <c r="R21" s="6">
        <f>IF(OR(Q21="",P21=""),"",TEXT(Q21-P21,"[h]:mm"))</f>
        <v/>
      </c>
      <c r="S21" s="6">
        <f>IF(B21="","",IF(Q21&lt;&gt;"",TEXT(Q21-B21,"[h]:mm"),IF(U21&lt;&gt;"",TEXT(U21-B21,"[h]:mm"),"")))</f>
        <v/>
      </c>
      <c r="T21" s="6">
        <f>IF(OR(O21="",B21=""),"",TEXT(O21-B21,"[h]:mm"))</f>
        <v/>
      </c>
    </row>
    <row r="22">
      <c r="A22" t="inlineStr">
        <is>
          <t>ED WCC</t>
        </is>
      </c>
      <c r="B22" s="3" t="n">
        <v>45721.36458333334</v>
      </c>
      <c r="C22" t="inlineStr">
        <is>
          <t>Farah binti Abdullah</t>
        </is>
      </c>
      <c r="D22" t="inlineStr">
        <is>
          <t>Farah</t>
        </is>
      </c>
      <c r="E22" s="4" t="inlineStr">
        <is>
          <t>970718-05-4722</t>
        </is>
      </c>
      <c r="F22" t="inlineStr">
        <is>
          <t>MRN122798</t>
        </is>
      </c>
      <c r="G22" s="5" t="n">
        <v>28</v>
      </c>
      <c r="H22" t="inlineStr">
        <is>
          <t>Female</t>
        </is>
      </c>
      <c r="I22" t="inlineStr">
        <is>
          <t>ab</t>
        </is>
      </c>
      <c r="J22" t="inlineStr">
        <is>
          <t>wccab03</t>
        </is>
      </c>
      <c r="K22" t="inlineStr">
        <is>
          <t>ab</t>
        </is>
      </c>
      <c r="L22" t="inlineStr">
        <is>
          <t>ongoingtreatment</t>
        </is>
      </c>
      <c r="N22" s="4" t="n"/>
      <c r="R22" s="6">
        <f>IF(OR(Q22="",P22=""),"",TEXT(Q22-P22,"[h]:mm"))</f>
        <v/>
      </c>
      <c r="S22" s="6">
        <f>IF(B22="","",IF(Q22&lt;&gt;"",TEXT(Q22-B22,"[h]:mm"),IF(U22&lt;&gt;"",TEXT(U22-B22,"[h]:mm"),"")))</f>
        <v/>
      </c>
      <c r="T22" s="6">
        <f>IF(OR(O22="",B22=""),"",TEXT(O22-B22,"[h]:mm"))</f>
        <v/>
      </c>
    </row>
    <row r="23">
      <c r="A23" t="inlineStr">
        <is>
          <t>ED BU</t>
        </is>
      </c>
      <c r="B23" s="3" t="n">
        <v>45721.36458333334</v>
      </c>
      <c r="C23" t="inlineStr">
        <is>
          <t>Ahmad binti Rahman</t>
        </is>
      </c>
      <c r="D23" t="inlineStr">
        <is>
          <t>Ahmad</t>
        </is>
      </c>
      <c r="E23" s="4" t="inlineStr">
        <is>
          <t>400112-11-3565</t>
        </is>
      </c>
      <c r="F23" t="inlineStr">
        <is>
          <t>MRN755429</t>
        </is>
      </c>
      <c r="G23" s="5" t="n">
        <v>85</v>
      </c>
      <c r="H23" t="inlineStr">
        <is>
          <t>Female</t>
        </is>
      </c>
      <c r="I23" t="inlineStr">
        <is>
          <t>yz</t>
        </is>
      </c>
      <c r="J23" t="inlineStr">
        <is>
          <t>buyz41crisis</t>
        </is>
      </c>
      <c r="K23" t="inlineStr">
        <is>
          <t>yz</t>
        </is>
      </c>
      <c r="L23" t="inlineStr">
        <is>
          <t>admitted</t>
        </is>
      </c>
      <c r="M23" t="inlineStr">
        <is>
          <t>Paediatric</t>
        </is>
      </c>
      <c r="N23" s="4" t="n"/>
      <c r="P23" s="3" t="n">
        <v>45721.53958333333</v>
      </c>
      <c r="Q23" s="3" t="n">
        <v>45721.61944444444</v>
      </c>
      <c r="R23" s="6">
        <f>IF(OR(Q23="",P23=""),"",TEXT(Q23-P23,"[h]:mm"))</f>
        <v/>
      </c>
      <c r="S23" s="6">
        <f>IF(B23="","",IF(Q23&lt;&gt;"",TEXT(Q23-B23,"[h]:mm"),IF(U23&lt;&gt;"",TEXT(U23-B23,"[h]:mm"),"")))</f>
        <v/>
      </c>
      <c r="T23" s="6">
        <f>IF(OR(O23="",B23=""),"",TEXT(O23-B23,"[h]:mm"))</f>
        <v/>
      </c>
    </row>
    <row r="24">
      <c r="A24" t="inlineStr">
        <is>
          <t>ED WCC</t>
        </is>
      </c>
      <c r="B24" s="3" t="n">
        <v>45721.37083333333</v>
      </c>
      <c r="C24" t="inlineStr">
        <is>
          <t>Aisyah binti Mohamed</t>
        </is>
      </c>
      <c r="D24" t="inlineStr">
        <is>
          <t>Aisyah</t>
        </is>
      </c>
      <c r="E24" s="4" t="inlineStr">
        <is>
          <t>240210-11-2185</t>
        </is>
      </c>
      <c r="F24" t="inlineStr">
        <is>
          <t>MRN111576</t>
        </is>
      </c>
      <c r="G24" s="5" t="n">
        <v>1</v>
      </c>
      <c r="H24" t="inlineStr">
        <is>
          <t>Female</t>
        </is>
      </c>
      <c r="I24" t="inlineStr">
        <is>
          <t>rz</t>
        </is>
      </c>
      <c r="J24" t="inlineStr">
        <is>
          <t>wccrz10crisis</t>
        </is>
      </c>
      <c r="K24" t="inlineStr">
        <is>
          <t>rz</t>
        </is>
      </c>
      <c r="L24" t="inlineStr">
        <is>
          <t>preadmit</t>
        </is>
      </c>
      <c r="M24" t="inlineStr">
        <is>
          <t>Special Needs Dental</t>
        </is>
      </c>
      <c r="N24" s="4" t="n"/>
      <c r="P24" s="3" t="n">
        <v>45721.52569444444</v>
      </c>
      <c r="R24" s="6">
        <f>IF(OR(Q24="",P24=""),"",TEXT(Q24-P24,"[h]:mm"))</f>
        <v/>
      </c>
      <c r="S24" s="6">
        <f>IF(B24="","",IF(Q24&lt;&gt;"",TEXT(Q24-B24,"[h]:mm"),IF(U24&lt;&gt;"",TEXT(U24-B24,"[h]:mm"),"")))</f>
        <v/>
      </c>
      <c r="T24" s="6">
        <f>IF(OR(O24="",B24=""),"",TEXT(O24-B24,"[h]:mm"))</f>
        <v/>
      </c>
    </row>
    <row r="25">
      <c r="A25" t="inlineStr">
        <is>
          <t>ED BU</t>
        </is>
      </c>
      <c r="B25" s="3" t="n">
        <v>45721.37152777778</v>
      </c>
      <c r="C25" t="inlineStr">
        <is>
          <t>Mohamed bin Yusof</t>
        </is>
      </c>
      <c r="D25" t="inlineStr">
        <is>
          <t>Mohamed</t>
        </is>
      </c>
      <c r="E25" s="4" t="inlineStr">
        <is>
          <t>720804-02-1151</t>
        </is>
      </c>
      <c r="F25" t="inlineStr">
        <is>
          <t>MRN189695</t>
        </is>
      </c>
      <c r="G25" s="5" t="n">
        <v>53</v>
      </c>
      <c r="H25" t="inlineStr">
        <is>
          <t>Male</t>
        </is>
      </c>
      <c r="I25" t="inlineStr">
        <is>
          <t>yz</t>
        </is>
      </c>
      <c r="J25" t="inlineStr">
        <is>
          <t>buyz19crisis</t>
        </is>
      </c>
      <c r="K25" t="inlineStr">
        <is>
          <t>yz</t>
        </is>
      </c>
      <c r="L25" t="inlineStr">
        <is>
          <t>ongoingtreatment</t>
        </is>
      </c>
      <c r="N25" s="4" t="n"/>
      <c r="R25" s="6">
        <f>IF(OR(Q25="",P25=""),"",TEXT(Q25-P25,"[h]:mm"))</f>
        <v/>
      </c>
      <c r="S25" s="6">
        <f>IF(B25="","",IF(Q25&lt;&gt;"",TEXT(Q25-B25,"[h]:mm"),IF(U25&lt;&gt;"",TEXT(U25-B25,"[h]:mm"),"")))</f>
        <v/>
      </c>
      <c r="T25" s="6">
        <f>IF(OR(O25="",B25=""),"",TEXT(O25-B25,"[h]:mm"))</f>
        <v/>
      </c>
    </row>
    <row r="26">
      <c r="A26" t="inlineStr">
        <is>
          <t>ED BU</t>
        </is>
      </c>
      <c r="B26" s="3" t="n">
        <v>45721.37777777778</v>
      </c>
      <c r="C26" t="inlineStr">
        <is>
          <t>Suraya bin Hassan</t>
        </is>
      </c>
      <c r="D26" t="inlineStr">
        <is>
          <t>Suraya</t>
        </is>
      </c>
      <c r="E26" s="4" t="inlineStr">
        <is>
          <t>511008-08-3997</t>
        </is>
      </c>
      <c r="F26" t="inlineStr">
        <is>
          <t>MRN225765</t>
        </is>
      </c>
      <c r="G26" s="5" t="n">
        <v>74</v>
      </c>
      <c r="H26" t="inlineStr">
        <is>
          <t>Male</t>
        </is>
      </c>
      <c r="I26" t="inlineStr">
        <is>
          <t>yz</t>
        </is>
      </c>
      <c r="J26" t="inlineStr">
        <is>
          <t>buyz21crisis</t>
        </is>
      </c>
      <c r="K26" t="inlineStr">
        <is>
          <t>yz</t>
        </is>
      </c>
      <c r="L26" t="inlineStr">
        <is>
          <t>ongoingtreatment</t>
        </is>
      </c>
      <c r="N26" s="4" t="n"/>
      <c r="R26" s="6">
        <f>IF(OR(Q26="",P26=""),"",TEXT(Q26-P26,"[h]:mm"))</f>
        <v/>
      </c>
      <c r="S26" s="6">
        <f>IF(B26="","",IF(Q26&lt;&gt;"",TEXT(Q26-B26,"[h]:mm"),IF(U26&lt;&gt;"",TEXT(U26-B26,"[h]:mm"),"")))</f>
        <v/>
      </c>
      <c r="T26" s="6">
        <f>IF(OR(O26="",B26=""),"",TEXT(O26-B26,"[h]:mm"))</f>
        <v/>
      </c>
    </row>
    <row r="27">
      <c r="A27" t="inlineStr">
        <is>
          <t>ED BU</t>
        </is>
      </c>
      <c r="B27" s="3" t="n">
        <v>45721.38125</v>
      </c>
      <c r="C27" t="inlineStr">
        <is>
          <t>Aisyah binti Ismail</t>
        </is>
      </c>
      <c r="D27" t="inlineStr">
        <is>
          <t>Aisyah</t>
        </is>
      </c>
      <c r="E27" s="4" t="inlineStr">
        <is>
          <t>020606-04-4685</t>
        </is>
      </c>
      <c r="F27" t="inlineStr">
        <is>
          <t>MRN474608</t>
        </is>
      </c>
      <c r="G27" s="5" t="n">
        <v>23</v>
      </c>
      <c r="H27" t="inlineStr">
        <is>
          <t>Female</t>
        </is>
      </c>
      <c r="I27" t="inlineStr">
        <is>
          <t>yz</t>
        </is>
      </c>
      <c r="J27" t="inlineStr">
        <is>
          <t>buyz28crisis</t>
        </is>
      </c>
      <c r="K27" t="inlineStr">
        <is>
          <t>yz</t>
        </is>
      </c>
      <c r="L27" t="inlineStr">
        <is>
          <t>discharge</t>
        </is>
      </c>
      <c r="N27" s="4" t="n"/>
      <c r="R27" s="6">
        <f>IF(OR(Q27="",P27=""),"",TEXT(Q27-P27,"[h]:mm"))</f>
        <v/>
      </c>
      <c r="S27" s="6">
        <f>IF(B27="","",IF(Q27&lt;&gt;"",TEXT(Q27-B27,"[h]:mm"),IF(U27&lt;&gt;"",TEXT(U27-B27,"[h]:mm"),"")))</f>
        <v/>
      </c>
      <c r="T27" s="6">
        <f>IF(OR(O27="",B27=""),"",TEXT(O27-B27,"[h]:mm"))</f>
        <v/>
      </c>
      <c r="U27" s="3" t="n">
        <v>45721.51041666666</v>
      </c>
    </row>
    <row r="28">
      <c r="A28" t="inlineStr">
        <is>
          <t>ED BU</t>
        </is>
      </c>
      <c r="B28" s="3" t="n">
        <v>45721.38194444445</v>
      </c>
      <c r="C28" t="inlineStr">
        <is>
          <t>Hasnah binti Mohamed</t>
        </is>
      </c>
      <c r="D28" t="inlineStr">
        <is>
          <t>Hasnah</t>
        </is>
      </c>
      <c r="E28" s="4" t="inlineStr">
        <is>
          <t>001103-14-6784</t>
        </is>
      </c>
      <c r="F28" t="inlineStr">
        <is>
          <t>MRN887703</t>
        </is>
      </c>
      <c r="G28" s="5" t="n">
        <v>25</v>
      </c>
      <c r="H28" t="inlineStr">
        <is>
          <t>Female</t>
        </is>
      </c>
      <c r="I28" t="inlineStr">
        <is>
          <t>rz</t>
        </is>
      </c>
      <c r="J28" t="inlineStr">
        <is>
          <t>burz05</t>
        </is>
      </c>
      <c r="K28" t="inlineStr">
        <is>
          <t>rz</t>
        </is>
      </c>
      <c r="L28" t="inlineStr">
        <is>
          <t>referred</t>
        </is>
      </c>
      <c r="M28" t="inlineStr">
        <is>
          <t>OMFS</t>
        </is>
      </c>
      <c r="N28" s="4" t="n"/>
      <c r="R28" s="6">
        <f>IF(OR(Q28="",P28=""),"",TEXT(Q28-P28,"[h]:mm"))</f>
        <v/>
      </c>
      <c r="S28" s="6">
        <f>IF(B28="","",IF(Q28&lt;&gt;"",TEXT(Q28-B28,"[h]:mm"),IF(U28&lt;&gt;"",TEXT(U28-B28,"[h]:mm"),"")))</f>
        <v/>
      </c>
      <c r="T28" s="6">
        <f>IF(OR(O28="",B28=""),"",TEXT(O28-B28,"[h]:mm"))</f>
        <v/>
      </c>
    </row>
    <row r="29">
      <c r="A29" t="inlineStr">
        <is>
          <t>ED BU</t>
        </is>
      </c>
      <c r="B29" s="3" t="n">
        <v>45721.38194444445</v>
      </c>
      <c r="C29" t="inlineStr">
        <is>
          <t>Rohani binti Ibrahim</t>
        </is>
      </c>
      <c r="D29" t="inlineStr">
        <is>
          <t>Rohani</t>
        </is>
      </c>
      <c r="E29" s="4" t="inlineStr">
        <is>
          <t>000704-12-8448</t>
        </is>
      </c>
      <c r="F29" t="inlineStr">
        <is>
          <t>MRN726862</t>
        </is>
      </c>
      <c r="G29" s="5" t="n">
        <v>25</v>
      </c>
      <c r="H29" t="inlineStr">
        <is>
          <t>Female</t>
        </is>
      </c>
      <c r="I29" t="inlineStr">
        <is>
          <t>yz</t>
        </is>
      </c>
      <c r="J29" t="inlineStr">
        <is>
          <t>buyz44crisis</t>
        </is>
      </c>
      <c r="K29" t="inlineStr">
        <is>
          <t>yz</t>
        </is>
      </c>
      <c r="L29" t="inlineStr">
        <is>
          <t>preadmit</t>
        </is>
      </c>
      <c r="M29" t="inlineStr">
        <is>
          <t>Psychiatry</t>
        </is>
      </c>
      <c r="N29" s="4" t="n"/>
      <c r="P29" s="3" t="n">
        <v>45721.46944444445</v>
      </c>
      <c r="R29" s="6">
        <f>IF(OR(Q29="",P29=""),"",TEXT(Q29-P29,"[h]:mm"))</f>
        <v/>
      </c>
      <c r="S29" s="6">
        <f>IF(B29="","",IF(Q29&lt;&gt;"",TEXT(Q29-B29,"[h]:mm"),IF(U29&lt;&gt;"",TEXT(U29-B29,"[h]:mm"),"")))</f>
        <v/>
      </c>
      <c r="T29" s="6">
        <f>IF(OR(O29="",B29=""),"",TEXT(O29-B29,"[h]:mm"))</f>
        <v/>
      </c>
    </row>
    <row r="30">
      <c r="A30" t="inlineStr">
        <is>
          <t>ED BU</t>
        </is>
      </c>
      <c r="B30" s="3" t="n">
        <v>45721.38333333333</v>
      </c>
      <c r="C30" t="inlineStr">
        <is>
          <t>Hafiz binti Mohamed</t>
        </is>
      </c>
      <c r="D30" t="inlineStr">
        <is>
          <t>Hafiz</t>
        </is>
      </c>
      <c r="E30" s="4" t="inlineStr">
        <is>
          <t>830112-08-8988</t>
        </is>
      </c>
      <c r="F30" t="inlineStr">
        <is>
          <t>MRN706753</t>
        </is>
      </c>
      <c r="G30" s="5" t="n">
        <v>42</v>
      </c>
      <c r="H30" t="inlineStr">
        <is>
          <t>Female</t>
        </is>
      </c>
      <c r="I30" t="inlineStr">
        <is>
          <t>yz</t>
        </is>
      </c>
      <c r="J30" t="inlineStr">
        <is>
          <t>buyz05</t>
        </is>
      </c>
      <c r="K30" t="inlineStr">
        <is>
          <t>yz</t>
        </is>
      </c>
      <c r="L30" t="inlineStr">
        <is>
          <t>ongoingtreatment</t>
        </is>
      </c>
      <c r="N30" s="4" t="n"/>
      <c r="R30" s="6">
        <f>IF(OR(Q30="",P30=""),"",TEXT(Q30-P30,"[h]:mm"))</f>
        <v/>
      </c>
      <c r="S30" s="6">
        <f>IF(B30="","",IF(Q30&lt;&gt;"",TEXT(Q30-B30,"[h]:mm"),IF(U30&lt;&gt;"",TEXT(U30-B30,"[h]:mm"),"")))</f>
        <v/>
      </c>
      <c r="T30" s="6">
        <f>IF(OR(O30="",B30=""),"",TEXT(O30-B30,"[h]:mm"))</f>
        <v/>
      </c>
    </row>
    <row r="31">
      <c r="A31" t="inlineStr">
        <is>
          <t>ED WCC</t>
        </is>
      </c>
      <c r="B31" s="3" t="n">
        <v>45721.38680555556</v>
      </c>
      <c r="C31" t="inlineStr">
        <is>
          <t>Farah bin Yusof</t>
        </is>
      </c>
      <c r="D31" t="inlineStr">
        <is>
          <t>Farah</t>
        </is>
      </c>
      <c r="E31" s="4" t="inlineStr">
        <is>
          <t>081019-10-7506</t>
        </is>
      </c>
      <c r="F31" t="inlineStr">
        <is>
          <t>MRN678582</t>
        </is>
      </c>
      <c r="G31" s="5" t="n">
        <v>17</v>
      </c>
      <c r="H31" t="inlineStr">
        <is>
          <t>Male</t>
        </is>
      </c>
      <c r="I31" t="inlineStr">
        <is>
          <t>ob</t>
        </is>
      </c>
      <c r="J31" t="inlineStr">
        <is>
          <t>wccob05</t>
        </is>
      </c>
      <c r="K31" t="inlineStr">
        <is>
          <t>ob</t>
        </is>
      </c>
      <c r="L31" t="inlineStr">
        <is>
          <t>admitted</t>
        </is>
      </c>
      <c r="M31" t="inlineStr">
        <is>
          <t>Special Needs Dental</t>
        </is>
      </c>
      <c r="N31" s="4" t="n"/>
      <c r="P31" s="3" t="n">
        <v>45721.43194444444</v>
      </c>
      <c r="Q31" s="3" t="n">
        <v>45721.46458333333</v>
      </c>
      <c r="R31" s="6">
        <f>IF(OR(Q31="",P31=""),"",TEXT(Q31-P31,"[h]:mm"))</f>
        <v/>
      </c>
      <c r="S31" s="6">
        <f>IF(B31="","",IF(Q31&lt;&gt;"",TEXT(Q31-B31,"[h]:mm"),IF(U31&lt;&gt;"",TEXT(U31-B31,"[h]:mm"),"")))</f>
        <v/>
      </c>
      <c r="T31" s="6">
        <f>IF(OR(O31="",B31=""),"",TEXT(O31-B31,"[h]:mm"))</f>
        <v/>
      </c>
    </row>
    <row r="32">
      <c r="A32" t="inlineStr">
        <is>
          <t>PAC WCC</t>
        </is>
      </c>
      <c r="B32" s="3" t="n">
        <v>45721.39236111111</v>
      </c>
      <c r="C32" t="inlineStr">
        <is>
          <t>Rohani binti Omar</t>
        </is>
      </c>
      <c r="D32" t="inlineStr">
        <is>
          <t>Rohani</t>
        </is>
      </c>
      <c r="E32" s="4" t="inlineStr">
        <is>
          <t>891203-04-3684</t>
        </is>
      </c>
      <c r="F32" t="inlineStr">
        <is>
          <t>MRN404862</t>
        </is>
      </c>
      <c r="G32" s="5" t="n">
        <v>36</v>
      </c>
      <c r="H32" t="inlineStr">
        <is>
          <t>Female</t>
        </is>
      </c>
      <c r="I32" t="inlineStr">
        <is>
          <t>pac</t>
        </is>
      </c>
      <c r="J32" t="inlineStr">
        <is>
          <t>wccpac05</t>
        </is>
      </c>
      <c r="K32" t="inlineStr">
        <is>
          <t>pac</t>
        </is>
      </c>
      <c r="L32" t="inlineStr">
        <is>
          <t>ongoingtreatment</t>
        </is>
      </c>
      <c r="N32" s="4" t="n"/>
      <c r="R32" s="6">
        <f>IF(OR(Q32="",P32=""),"",TEXT(Q32-P32,"[h]:mm"))</f>
        <v/>
      </c>
      <c r="S32" s="6">
        <f>IF(B32="","",IF(Q32&lt;&gt;"",TEXT(Q32-B32,"[h]:mm"),IF(U32&lt;&gt;"",TEXT(U32-B32,"[h]:mm"),"")))</f>
        <v/>
      </c>
      <c r="T32" s="6">
        <f>IF(OR(O32="",B32=""),"",TEXT(O32-B32,"[h]:mm"))</f>
        <v/>
      </c>
    </row>
    <row r="33">
      <c r="A33" t="inlineStr">
        <is>
          <t>ED BU</t>
        </is>
      </c>
      <c r="B33" s="3" t="n">
        <v>45721.39375</v>
      </c>
      <c r="C33" t="inlineStr">
        <is>
          <t>Danial binti Abdullah</t>
        </is>
      </c>
      <c r="D33" t="inlineStr">
        <is>
          <t>Danial</t>
        </is>
      </c>
      <c r="E33" s="4" t="inlineStr">
        <is>
          <t>680507-03-2976</t>
        </is>
      </c>
      <c r="F33" t="inlineStr">
        <is>
          <t>MRN306600</t>
        </is>
      </c>
      <c r="G33" s="5" t="n">
        <v>57</v>
      </c>
      <c r="H33" t="inlineStr">
        <is>
          <t>Female</t>
        </is>
      </c>
      <c r="I33" t="inlineStr">
        <is>
          <t>yz</t>
        </is>
      </c>
      <c r="J33" t="inlineStr">
        <is>
          <t>buyz15</t>
        </is>
      </c>
      <c r="K33" t="inlineStr">
        <is>
          <t>yz</t>
        </is>
      </c>
      <c r="L33" t="inlineStr">
        <is>
          <t>admitted</t>
        </is>
      </c>
      <c r="M33" t="inlineStr">
        <is>
          <t>Psychiatry</t>
        </is>
      </c>
      <c r="N33" s="4" t="n"/>
      <c r="P33" s="3" t="n">
        <v>45721.48888888889</v>
      </c>
      <c r="Q33" s="3" t="n">
        <v>45721.52430555555</v>
      </c>
      <c r="R33" s="6">
        <f>IF(OR(Q33="",P33=""),"",TEXT(Q33-P33,"[h]:mm"))</f>
        <v/>
      </c>
      <c r="S33" s="6">
        <f>IF(B33="","",IF(Q33&lt;&gt;"",TEXT(Q33-B33,"[h]:mm"),IF(U33&lt;&gt;"",TEXT(U33-B33,"[h]:mm"),"")))</f>
        <v/>
      </c>
      <c r="T33" s="6">
        <f>IF(OR(O33="",B33=""),"",TEXT(O33-B33,"[h]:mm"))</f>
        <v/>
      </c>
    </row>
    <row r="34">
      <c r="A34" t="inlineStr">
        <is>
          <t>ED WCC</t>
        </is>
      </c>
      <c r="B34" s="3" t="n">
        <v>45721.39722222222</v>
      </c>
      <c r="C34" t="inlineStr">
        <is>
          <t>Syed binti Zakaria</t>
        </is>
      </c>
      <c r="D34" t="inlineStr">
        <is>
          <t>Syed</t>
        </is>
      </c>
      <c r="E34" s="4" t="inlineStr">
        <is>
          <t>670413-12-3478</t>
        </is>
      </c>
      <c r="F34" t="inlineStr">
        <is>
          <t>MRN130327</t>
        </is>
      </c>
      <c r="G34" s="5" t="n">
        <v>58</v>
      </c>
      <c r="H34" t="inlineStr">
        <is>
          <t>Female</t>
        </is>
      </c>
      <c r="I34" t="inlineStr">
        <is>
          <t>yz</t>
        </is>
      </c>
      <c r="J34" t="inlineStr">
        <is>
          <t>wccyz09crisis</t>
        </is>
      </c>
      <c r="K34" t="inlineStr">
        <is>
          <t>yz</t>
        </is>
      </c>
      <c r="L34" t="inlineStr">
        <is>
          <t>referred</t>
        </is>
      </c>
      <c r="M34" t="inlineStr">
        <is>
          <t>Psychiatry</t>
        </is>
      </c>
      <c r="N34" s="4" t="n"/>
      <c r="R34" s="6">
        <f>IF(OR(Q34="",P34=""),"",TEXT(Q34-P34,"[h]:mm"))</f>
        <v/>
      </c>
      <c r="S34" s="6">
        <f>IF(B34="","",IF(Q34&lt;&gt;"",TEXT(Q34-B34,"[h]:mm"),IF(U34&lt;&gt;"",TEXT(U34-B34,"[h]:mm"),"")))</f>
        <v/>
      </c>
      <c r="T34" s="6">
        <f>IF(OR(O34="",B34=""),"",TEXT(O34-B34,"[h]:mm"))</f>
        <v/>
      </c>
    </row>
    <row r="35">
      <c r="A35" t="inlineStr">
        <is>
          <t>ED BU</t>
        </is>
      </c>
      <c r="B35" s="3" t="n">
        <v>45721.40277777778</v>
      </c>
      <c r="C35" t="inlineStr">
        <is>
          <t>Syed bin Mohamed</t>
        </is>
      </c>
      <c r="D35" t="inlineStr">
        <is>
          <t>Syed</t>
        </is>
      </c>
      <c r="E35" s="4" t="inlineStr">
        <is>
          <t>680209-03-0125</t>
        </is>
      </c>
      <c r="F35" t="inlineStr">
        <is>
          <t>MRN949594</t>
        </is>
      </c>
      <c r="G35" s="5" t="n">
        <v>57</v>
      </c>
      <c r="H35" t="inlineStr">
        <is>
          <t>Male</t>
        </is>
      </c>
      <c r="I35" t="inlineStr">
        <is>
          <t>yz</t>
        </is>
      </c>
      <c r="J35" t="inlineStr">
        <is>
          <t>buyz14</t>
        </is>
      </c>
      <c r="K35" t="inlineStr">
        <is>
          <t>yz</t>
        </is>
      </c>
      <c r="L35" t="inlineStr">
        <is>
          <t>referred</t>
        </is>
      </c>
      <c r="M35" t="inlineStr">
        <is>
          <t>Special Needs Dental</t>
        </is>
      </c>
      <c r="N35" s="4" t="n"/>
      <c r="R35" s="6">
        <f>IF(OR(Q35="",P35=""),"",TEXT(Q35-P35,"[h]:mm"))</f>
        <v/>
      </c>
      <c r="S35" s="6">
        <f>IF(B35="","",IF(Q35&lt;&gt;"",TEXT(Q35-B35,"[h]:mm"),IF(U35&lt;&gt;"",TEXT(U35-B35,"[h]:mm"),"")))</f>
        <v/>
      </c>
      <c r="T35" s="6">
        <f>IF(OR(O35="",B35=""),"",TEXT(O35-B35,"[h]:mm"))</f>
        <v/>
      </c>
    </row>
    <row r="36">
      <c r="A36" t="inlineStr">
        <is>
          <t>PAC WCC</t>
        </is>
      </c>
      <c r="B36" s="3" t="n">
        <v>45721.40555555555</v>
      </c>
      <c r="C36" t="inlineStr">
        <is>
          <t>Faizal binti Salleh</t>
        </is>
      </c>
      <c r="D36" t="inlineStr">
        <is>
          <t>Faizal</t>
        </is>
      </c>
      <c r="E36" s="4" t="inlineStr">
        <is>
          <t>991102-01-4272</t>
        </is>
      </c>
      <c r="F36" t="inlineStr">
        <is>
          <t>MRN838599</t>
        </is>
      </c>
      <c r="G36" s="5" t="n">
        <v>26</v>
      </c>
      <c r="H36" t="inlineStr">
        <is>
          <t>Female</t>
        </is>
      </c>
      <c r="I36" t="inlineStr">
        <is>
          <t>pac</t>
        </is>
      </c>
      <c r="J36" t="inlineStr">
        <is>
          <t>wccpac07</t>
        </is>
      </c>
      <c r="K36" t="inlineStr">
        <is>
          <t>pac</t>
        </is>
      </c>
      <c r="L36" t="inlineStr">
        <is>
          <t>referred</t>
        </is>
      </c>
      <c r="M36" t="inlineStr">
        <is>
          <t>O&amp;G</t>
        </is>
      </c>
      <c r="N36" s="4" t="n"/>
      <c r="R36" s="6">
        <f>IF(OR(Q36="",P36=""),"",TEXT(Q36-P36,"[h]:mm"))</f>
        <v/>
      </c>
      <c r="S36" s="6">
        <f>IF(B36="","",IF(Q36&lt;&gt;"",TEXT(Q36-B36,"[h]:mm"),IF(U36&lt;&gt;"",TEXT(U36-B36,"[h]:mm"),"")))</f>
        <v/>
      </c>
      <c r="T36" s="6">
        <f>IF(OR(O36="",B36=""),"",TEXT(O36-B36,"[h]:mm"))</f>
        <v/>
      </c>
    </row>
    <row r="37">
      <c r="A37" t="inlineStr">
        <is>
          <t>ED BU</t>
        </is>
      </c>
      <c r="B37" s="3" t="n">
        <v>45721.40625</v>
      </c>
      <c r="C37" t="inlineStr">
        <is>
          <t>Siti binti Hassan</t>
        </is>
      </c>
      <c r="D37" t="inlineStr">
        <is>
          <t>Siti</t>
        </is>
      </c>
      <c r="E37" s="4" t="inlineStr">
        <is>
          <t>430622-14-9312</t>
        </is>
      </c>
      <c r="F37" t="inlineStr">
        <is>
          <t>MRN819887</t>
        </is>
      </c>
      <c r="G37" s="5" t="n">
        <v>82</v>
      </c>
      <c r="H37" t="inlineStr">
        <is>
          <t>Female</t>
        </is>
      </c>
      <c r="I37" t="inlineStr">
        <is>
          <t>yz</t>
        </is>
      </c>
      <c r="J37" t="inlineStr">
        <is>
          <t>buyz32crisis</t>
        </is>
      </c>
      <c r="K37" t="inlineStr">
        <is>
          <t>yz</t>
        </is>
      </c>
      <c r="L37" t="inlineStr">
        <is>
          <t>preadmit</t>
        </is>
      </c>
      <c r="M37" t="inlineStr">
        <is>
          <t>Special Needs Dental</t>
        </is>
      </c>
      <c r="N37" s="4" t="n"/>
      <c r="P37" s="3" t="n">
        <v>45721.55138888889</v>
      </c>
      <c r="R37" s="6">
        <f>IF(OR(Q37="",P37=""),"",TEXT(Q37-P37,"[h]:mm"))</f>
        <v/>
      </c>
      <c r="S37" s="6">
        <f>IF(B37="","",IF(Q37&lt;&gt;"",TEXT(Q37-B37,"[h]:mm"),IF(U37&lt;&gt;"",TEXT(U37-B37,"[h]:mm"),"")))</f>
        <v/>
      </c>
      <c r="T37" s="6">
        <f>IF(OR(O37="",B37=""),"",TEXT(O37-B37,"[h]:mm"))</f>
        <v/>
      </c>
    </row>
    <row r="38">
      <c r="A38" t="inlineStr">
        <is>
          <t>ED BU</t>
        </is>
      </c>
      <c r="B38" s="3" t="n">
        <v>45721.40763888889</v>
      </c>
      <c r="C38" t="inlineStr">
        <is>
          <t>Rohani binti Ismail</t>
        </is>
      </c>
      <c r="D38" t="inlineStr">
        <is>
          <t>Rohani</t>
        </is>
      </c>
      <c r="E38" s="4" t="inlineStr">
        <is>
          <t>530708-11-9218</t>
        </is>
      </c>
      <c r="F38" t="inlineStr">
        <is>
          <t>MRN509686</t>
        </is>
      </c>
      <c r="G38" s="5" t="n">
        <v>72</v>
      </c>
      <c r="H38" t="inlineStr">
        <is>
          <t>Female</t>
        </is>
      </c>
      <c r="I38" t="inlineStr">
        <is>
          <t>yz</t>
        </is>
      </c>
      <c r="J38" t="inlineStr">
        <is>
          <t>buyz16</t>
        </is>
      </c>
      <c r="K38" t="inlineStr">
        <is>
          <t>yz</t>
        </is>
      </c>
      <c r="L38" t="inlineStr">
        <is>
          <t>preadmit</t>
        </is>
      </c>
      <c r="M38" t="inlineStr">
        <is>
          <t>Paediatric</t>
        </is>
      </c>
      <c r="N38" s="4" t="n"/>
      <c r="P38" s="3" t="n">
        <v>45721.48402777778</v>
      </c>
      <c r="R38" s="6">
        <f>IF(OR(Q38="",P38=""),"",TEXT(Q38-P38,"[h]:mm"))</f>
        <v/>
      </c>
      <c r="S38" s="6">
        <f>IF(B38="","",IF(Q38&lt;&gt;"",TEXT(Q38-B38,"[h]:mm"),IF(U38&lt;&gt;"",TEXT(U38-B38,"[h]:mm"),"")))</f>
        <v/>
      </c>
      <c r="T38" s="6">
        <f>IF(OR(O38="",B38=""),"",TEXT(O38-B38,"[h]:mm"))</f>
        <v/>
      </c>
    </row>
    <row r="39">
      <c r="A39" t="inlineStr">
        <is>
          <t>ED BU</t>
        </is>
      </c>
      <c r="B39" s="3" t="n">
        <v>45721.40902777778</v>
      </c>
      <c r="C39" t="inlineStr">
        <is>
          <t>Zainab binti Hassan</t>
        </is>
      </c>
      <c r="D39" t="inlineStr">
        <is>
          <t>Zainab</t>
        </is>
      </c>
      <c r="E39" s="4" t="inlineStr">
        <is>
          <t>641120-12-2022</t>
        </is>
      </c>
      <c r="F39" t="inlineStr">
        <is>
          <t>MRN815781</t>
        </is>
      </c>
      <c r="G39" s="5" t="n">
        <v>61</v>
      </c>
      <c r="H39" t="inlineStr">
        <is>
          <t>Female</t>
        </is>
      </c>
      <c r="I39" t="inlineStr">
        <is>
          <t>yz</t>
        </is>
      </c>
      <c r="J39" t="inlineStr">
        <is>
          <t>buyz43crisis</t>
        </is>
      </c>
      <c r="K39" t="inlineStr">
        <is>
          <t>yz</t>
        </is>
      </c>
      <c r="L39" t="inlineStr">
        <is>
          <t>ongoingtreatment</t>
        </is>
      </c>
      <c r="N39" s="4" t="n"/>
      <c r="R39" s="6">
        <f>IF(OR(Q39="",P39=""),"",TEXT(Q39-P39,"[h]:mm"))</f>
        <v/>
      </c>
      <c r="S39" s="6">
        <f>IF(B39="","",IF(Q39&lt;&gt;"",TEXT(Q39-B39,"[h]:mm"),IF(U39&lt;&gt;"",TEXT(U39-B39,"[h]:mm"),"")))</f>
        <v/>
      </c>
      <c r="T39" s="6">
        <f>IF(OR(O39="",B39=""),"",TEXT(O39-B39,"[h]:mm"))</f>
        <v/>
      </c>
    </row>
    <row r="40">
      <c r="A40" t="inlineStr">
        <is>
          <t>ED BU</t>
        </is>
      </c>
      <c r="B40" s="3" t="n">
        <v>45721.41041666667</v>
      </c>
      <c r="C40" t="inlineStr">
        <is>
          <t>Azman bin Salleh</t>
        </is>
      </c>
      <c r="D40" t="inlineStr">
        <is>
          <t>Azman</t>
        </is>
      </c>
      <c r="E40" s="4" t="inlineStr">
        <is>
          <t>530913-03-0365</t>
        </is>
      </c>
      <c r="F40" t="inlineStr">
        <is>
          <t>MRN516861</t>
        </is>
      </c>
      <c r="G40" s="5" t="n">
        <v>72</v>
      </c>
      <c r="H40" t="inlineStr">
        <is>
          <t>Male</t>
        </is>
      </c>
      <c r="I40" t="inlineStr">
        <is>
          <t>yz</t>
        </is>
      </c>
      <c r="J40" t="inlineStr">
        <is>
          <t>buyz20crisis</t>
        </is>
      </c>
      <c r="K40" t="inlineStr">
        <is>
          <t>yz</t>
        </is>
      </c>
      <c r="L40" t="inlineStr">
        <is>
          <t>ongoingtreatment</t>
        </is>
      </c>
      <c r="N40" s="4" t="n"/>
      <c r="R40" s="6">
        <f>IF(OR(Q40="",P40=""),"",TEXT(Q40-P40,"[h]:mm"))</f>
        <v/>
      </c>
      <c r="S40" s="6">
        <f>IF(B40="","",IF(Q40&lt;&gt;"",TEXT(Q40-B40,"[h]:mm"),IF(U40&lt;&gt;"",TEXT(U40-B40,"[h]:mm"),"")))</f>
        <v/>
      </c>
      <c r="T40" s="6">
        <f>IF(OR(O40="",B40=""),"",TEXT(O40-B40,"[h]:mm"))</f>
        <v/>
      </c>
    </row>
    <row r="41">
      <c r="A41" t="inlineStr">
        <is>
          <t>ED WCC</t>
        </is>
      </c>
      <c r="B41" s="3" t="n">
        <v>45721.41111111111</v>
      </c>
      <c r="C41" t="inlineStr">
        <is>
          <t>Zulkifli bin Ismail</t>
        </is>
      </c>
      <c r="D41" t="inlineStr">
        <is>
          <t>Zulkifli</t>
        </is>
      </c>
      <c r="E41" s="4" t="inlineStr">
        <is>
          <t>080514-02-8975</t>
        </is>
      </c>
      <c r="F41" t="inlineStr">
        <is>
          <t>MRN173970</t>
        </is>
      </c>
      <c r="G41" s="5" t="n">
        <v>17</v>
      </c>
      <c r="H41" t="inlineStr">
        <is>
          <t>Male</t>
        </is>
      </c>
      <c r="I41" t="inlineStr">
        <is>
          <t>yz</t>
        </is>
      </c>
      <c r="J41" t="inlineStr">
        <is>
          <t>wccyz05crisis</t>
        </is>
      </c>
      <c r="K41" t="inlineStr">
        <is>
          <t>yz</t>
        </is>
      </c>
      <c r="L41" t="inlineStr">
        <is>
          <t>referred</t>
        </is>
      </c>
      <c r="M41" t="inlineStr">
        <is>
          <t>Paediatric</t>
        </is>
      </c>
      <c r="N41" s="4" t="n"/>
      <c r="R41" s="6">
        <f>IF(OR(Q41="",P41=""),"",TEXT(Q41-P41,"[h]:mm"))</f>
        <v/>
      </c>
      <c r="S41" s="6">
        <f>IF(B41="","",IF(Q41&lt;&gt;"",TEXT(Q41-B41,"[h]:mm"),IF(U41&lt;&gt;"",TEXT(U41-B41,"[h]:mm"),"")))</f>
        <v/>
      </c>
      <c r="T41" s="6">
        <f>IF(OR(O41="",B41=""),"",TEXT(O41-B41,"[h]:mm"))</f>
        <v/>
      </c>
    </row>
    <row r="42">
      <c r="A42" t="inlineStr">
        <is>
          <t>ED BU</t>
        </is>
      </c>
      <c r="B42" s="3" t="n">
        <v>45721.41180555556</v>
      </c>
      <c r="C42" t="inlineStr">
        <is>
          <t>Siti bin Rahman</t>
        </is>
      </c>
      <c r="D42" t="inlineStr">
        <is>
          <t>Siti</t>
        </is>
      </c>
      <c r="E42" s="4" t="inlineStr">
        <is>
          <t>741126-12-1950</t>
        </is>
      </c>
      <c r="F42" t="inlineStr">
        <is>
          <t>MRN422760</t>
        </is>
      </c>
      <c r="G42" s="5" t="n">
        <v>51</v>
      </c>
      <c r="H42" t="inlineStr">
        <is>
          <t>Male</t>
        </is>
      </c>
      <c r="I42" t="inlineStr">
        <is>
          <t>gz</t>
        </is>
      </c>
      <c r="J42" t="inlineStr">
        <is>
          <t>bugz-waiting</t>
        </is>
      </c>
      <c r="K42" t="inlineStr">
        <is>
          <t>gz</t>
        </is>
      </c>
      <c r="L42" t="inlineStr">
        <is>
          <t>ongoingtreatment</t>
        </is>
      </c>
      <c r="N42" s="4" t="inlineStr">
        <is>
          <t>42</t>
        </is>
      </c>
      <c r="R42" s="6">
        <f>IF(OR(Q42="",P42=""),"",TEXT(Q42-P42,"[h]:mm"))</f>
        <v/>
      </c>
      <c r="S42" s="6">
        <f>IF(B42="","",IF(Q42&lt;&gt;"",TEXT(Q42-B42,"[h]:mm"),IF(U42&lt;&gt;"",TEXT(U42-B42,"[h]:mm"),"")))</f>
        <v/>
      </c>
      <c r="T42" s="6">
        <f>IF(OR(O42="",B42=""),"",TEXT(O42-B42,"[h]:mm"))</f>
        <v/>
      </c>
    </row>
    <row r="43">
      <c r="A43" t="inlineStr">
        <is>
          <t>PAC WCC</t>
        </is>
      </c>
      <c r="B43" s="3" t="n">
        <v>45721.41180555556</v>
      </c>
      <c r="C43" t="inlineStr">
        <is>
          <t>Azman binti Hamid</t>
        </is>
      </c>
      <c r="D43" t="inlineStr">
        <is>
          <t>Azman</t>
        </is>
      </c>
      <c r="E43" s="4" t="inlineStr">
        <is>
          <t>860921-09-9813</t>
        </is>
      </c>
      <c r="F43" t="inlineStr">
        <is>
          <t>MRN373106</t>
        </is>
      </c>
      <c r="G43" s="5" t="n">
        <v>39</v>
      </c>
      <c r="H43" t="inlineStr">
        <is>
          <t>Female</t>
        </is>
      </c>
      <c r="I43" t="inlineStr">
        <is>
          <t>pac</t>
        </is>
      </c>
      <c r="J43" t="inlineStr">
        <is>
          <t>wccpac02</t>
        </is>
      </c>
      <c r="K43" t="inlineStr">
        <is>
          <t>pac</t>
        </is>
      </c>
      <c r="L43" t="inlineStr">
        <is>
          <t>ongoingtreatment</t>
        </is>
      </c>
      <c r="N43" s="4" t="n"/>
      <c r="R43" s="6">
        <f>IF(OR(Q43="",P43=""),"",TEXT(Q43-P43,"[h]:mm"))</f>
        <v/>
      </c>
      <c r="S43" s="6">
        <f>IF(B43="","",IF(Q43&lt;&gt;"",TEXT(Q43-B43,"[h]:mm"),IF(U43&lt;&gt;"",TEXT(U43-B43,"[h]:mm"),"")))</f>
        <v/>
      </c>
      <c r="T43" s="6">
        <f>IF(OR(O43="",B43=""),"",TEXT(O43-B43,"[h]:mm"))</f>
        <v/>
      </c>
    </row>
    <row r="44">
      <c r="A44" t="inlineStr">
        <is>
          <t>ED BU</t>
        </is>
      </c>
      <c r="B44" s="3" t="n">
        <v>45721.4125</v>
      </c>
      <c r="C44" t="inlineStr">
        <is>
          <t>Ahmad bin Ismail</t>
        </is>
      </c>
      <c r="D44" t="inlineStr">
        <is>
          <t>Ahmad</t>
        </is>
      </c>
      <c r="E44" s="4" t="inlineStr">
        <is>
          <t>601210-07-8577</t>
        </is>
      </c>
      <c r="F44" t="inlineStr">
        <is>
          <t>MRN484543</t>
        </is>
      </c>
      <c r="G44" s="5" t="n">
        <v>65</v>
      </c>
      <c r="H44" t="inlineStr">
        <is>
          <t>Male</t>
        </is>
      </c>
      <c r="I44" t="inlineStr">
        <is>
          <t>yz</t>
        </is>
      </c>
      <c r="J44" t="inlineStr">
        <is>
          <t>buyz08</t>
        </is>
      </c>
      <c r="K44" t="inlineStr">
        <is>
          <t>yz</t>
        </is>
      </c>
      <c r="L44" t="inlineStr">
        <is>
          <t>referred</t>
        </is>
      </c>
      <c r="M44" t="inlineStr">
        <is>
          <t>Paediatric</t>
        </is>
      </c>
      <c r="N44" s="4" t="n"/>
      <c r="R44" s="6">
        <f>IF(OR(Q44="",P44=""),"",TEXT(Q44-P44,"[h]:mm"))</f>
        <v/>
      </c>
      <c r="S44" s="6">
        <f>IF(B44="","",IF(Q44&lt;&gt;"",TEXT(Q44-B44,"[h]:mm"),IF(U44&lt;&gt;"",TEXT(U44-B44,"[h]:mm"),"")))</f>
        <v/>
      </c>
      <c r="T44" s="6">
        <f>IF(OR(O44="",B44=""),"",TEXT(O44-B44,"[h]:mm"))</f>
        <v/>
      </c>
    </row>
    <row r="45">
      <c r="A45" t="inlineStr">
        <is>
          <t>ED BU</t>
        </is>
      </c>
      <c r="B45" s="3" t="n">
        <v>45721.41319444445</v>
      </c>
      <c r="C45" t="inlineStr">
        <is>
          <t>Hasnah binti Ibrahim</t>
        </is>
      </c>
      <c r="D45" t="inlineStr">
        <is>
          <t>Hasnah</t>
        </is>
      </c>
      <c r="E45" s="4" t="inlineStr">
        <is>
          <t>810311-08-2631</t>
        </is>
      </c>
      <c r="F45" t="inlineStr">
        <is>
          <t>MRN706231</t>
        </is>
      </c>
      <c r="G45" s="5" t="n">
        <v>44</v>
      </c>
      <c r="H45" t="inlineStr">
        <is>
          <t>Female</t>
        </is>
      </c>
      <c r="I45" t="inlineStr">
        <is>
          <t>gz</t>
        </is>
      </c>
      <c r="J45" t="inlineStr">
        <is>
          <t>bugz-waiting</t>
        </is>
      </c>
      <c r="K45" t="inlineStr">
        <is>
          <t>gz</t>
        </is>
      </c>
      <c r="L45" t="inlineStr">
        <is>
          <t>ongoingtreatment</t>
        </is>
      </c>
      <c r="N45" s="4" t="inlineStr">
        <is>
          <t>50</t>
        </is>
      </c>
      <c r="R45" s="6">
        <f>IF(OR(Q45="",P45=""),"",TEXT(Q45-P45,"[h]:mm"))</f>
        <v/>
      </c>
      <c r="S45" s="6">
        <f>IF(B45="","",IF(Q45&lt;&gt;"",TEXT(Q45-B45,"[h]:mm"),IF(U45&lt;&gt;"",TEXT(U45-B45,"[h]:mm"),"")))</f>
        <v/>
      </c>
      <c r="T45" s="6">
        <f>IF(OR(O45="",B45=""),"",TEXT(O45-B45,"[h]:mm"))</f>
        <v/>
      </c>
    </row>
    <row r="46">
      <c r="A46" t="inlineStr">
        <is>
          <t>PAC WCC</t>
        </is>
      </c>
      <c r="B46" s="3" t="n">
        <v>45721.41319444445</v>
      </c>
      <c r="C46" t="inlineStr">
        <is>
          <t>Danial binti Osman</t>
        </is>
      </c>
      <c r="D46" t="inlineStr">
        <is>
          <t>Danial</t>
        </is>
      </c>
      <c r="E46" s="4" t="inlineStr">
        <is>
          <t>850328-12-8072</t>
        </is>
      </c>
      <c r="F46" t="inlineStr">
        <is>
          <t>MRN981127</t>
        </is>
      </c>
      <c r="G46" s="5" t="n">
        <v>40</v>
      </c>
      <c r="H46" t="inlineStr">
        <is>
          <t>Female</t>
        </is>
      </c>
      <c r="I46" t="inlineStr">
        <is>
          <t>pac</t>
        </is>
      </c>
      <c r="J46" t="inlineStr">
        <is>
          <t>wccpac04</t>
        </is>
      </c>
      <c r="K46" t="inlineStr">
        <is>
          <t>pac</t>
        </is>
      </c>
      <c r="L46" t="inlineStr">
        <is>
          <t>ongoingtreatment</t>
        </is>
      </c>
      <c r="N46" s="4" t="n"/>
      <c r="R46" s="6">
        <f>IF(OR(Q46="",P46=""),"",TEXT(Q46-P46,"[h]:mm"))</f>
        <v/>
      </c>
      <c r="S46" s="6">
        <f>IF(B46="","",IF(Q46&lt;&gt;"",TEXT(Q46-B46,"[h]:mm"),IF(U46&lt;&gt;"",TEXT(U46-B46,"[h]:mm"),"")))</f>
        <v/>
      </c>
      <c r="T46" s="6">
        <f>IF(OR(O46="",B46=""),"",TEXT(O46-B46,"[h]:mm"))</f>
        <v/>
      </c>
    </row>
    <row r="47">
      <c r="A47" t="inlineStr">
        <is>
          <t>ED WCC</t>
        </is>
      </c>
      <c r="B47" s="3" t="n">
        <v>45721.41388888889</v>
      </c>
      <c r="C47" t="inlineStr">
        <is>
          <t>Izzuddin binti Hassan</t>
        </is>
      </c>
      <c r="D47" t="inlineStr">
        <is>
          <t>Izzuddin</t>
        </is>
      </c>
      <c r="E47" s="4" t="inlineStr">
        <is>
          <t>580225-09-1526</t>
        </is>
      </c>
      <c r="F47" t="inlineStr">
        <is>
          <t>MRN792213</t>
        </is>
      </c>
      <c r="G47" s="5" t="n">
        <v>67</v>
      </c>
      <c r="H47" t="inlineStr">
        <is>
          <t>Female</t>
        </is>
      </c>
      <c r="I47" t="inlineStr">
        <is>
          <t>gz</t>
        </is>
      </c>
      <c r="J47" t="inlineStr">
        <is>
          <t>wccgz-waiting</t>
        </is>
      </c>
      <c r="K47" t="inlineStr">
        <is>
          <t>gz</t>
        </is>
      </c>
      <c r="L47" t="inlineStr">
        <is>
          <t>ongoingtreatment</t>
        </is>
      </c>
      <c r="N47" s="4" t="inlineStr">
        <is>
          <t>19</t>
        </is>
      </c>
      <c r="R47" s="6">
        <f>IF(OR(Q47="",P47=""),"",TEXT(Q47-P47,"[h]:mm"))</f>
        <v/>
      </c>
      <c r="S47" s="6">
        <f>IF(B47="","",IF(Q47&lt;&gt;"",TEXT(Q47-B47,"[h]:mm"),IF(U47&lt;&gt;"",TEXT(U47-B47,"[h]:mm"),"")))</f>
        <v/>
      </c>
      <c r="T47" s="6">
        <f>IF(OR(O47="",B47=""),"",TEXT(O47-B47,"[h]:mm"))</f>
        <v/>
      </c>
    </row>
    <row r="48">
      <c r="A48" t="inlineStr">
        <is>
          <t>ED BU</t>
        </is>
      </c>
      <c r="B48" s="3" t="n">
        <v>45721.41388888889</v>
      </c>
      <c r="C48" t="inlineStr">
        <is>
          <t>Aisyah bin Yusof</t>
        </is>
      </c>
      <c r="D48" t="inlineStr">
        <is>
          <t>Aisyah</t>
        </is>
      </c>
      <c r="E48" s="4" t="inlineStr">
        <is>
          <t>690921-08-3792</t>
        </is>
      </c>
      <c r="F48" t="inlineStr">
        <is>
          <t>MRN513963</t>
        </is>
      </c>
      <c r="G48" s="5" t="n">
        <v>56</v>
      </c>
      <c r="H48" t="inlineStr">
        <is>
          <t>Male</t>
        </is>
      </c>
      <c r="I48" t="inlineStr">
        <is>
          <t>rz</t>
        </is>
      </c>
      <c r="J48" t="inlineStr">
        <is>
          <t>burz08crisis</t>
        </is>
      </c>
      <c r="K48" t="inlineStr">
        <is>
          <t>rz</t>
        </is>
      </c>
      <c r="L48" t="inlineStr">
        <is>
          <t>ongoingtreatment</t>
        </is>
      </c>
      <c r="N48" s="4" t="n"/>
      <c r="R48" s="6">
        <f>IF(OR(Q48="",P48=""),"",TEXT(Q48-P48,"[h]:mm"))</f>
        <v/>
      </c>
      <c r="S48" s="6">
        <f>IF(B48="","",IF(Q48&lt;&gt;"",TEXT(Q48-B48,"[h]:mm"),IF(U48&lt;&gt;"",TEXT(U48-B48,"[h]:mm"),"")))</f>
        <v/>
      </c>
      <c r="T48" s="6">
        <f>IF(OR(O48="",B48=""),"",TEXT(O48-B48,"[h]:mm"))</f>
        <v/>
      </c>
    </row>
    <row r="49">
      <c r="A49" t="inlineStr">
        <is>
          <t>ED BU</t>
        </is>
      </c>
      <c r="B49" s="3" t="n">
        <v>45721.41597222222</v>
      </c>
      <c r="C49" t="inlineStr">
        <is>
          <t>Norliza bin Omar</t>
        </is>
      </c>
      <c r="D49" t="inlineStr">
        <is>
          <t>Norliza</t>
        </is>
      </c>
      <c r="E49" s="4" t="inlineStr">
        <is>
          <t>680312-01-7221</t>
        </is>
      </c>
      <c r="F49" t="inlineStr">
        <is>
          <t>MRN388002</t>
        </is>
      </c>
      <c r="G49" s="5" t="n">
        <v>57</v>
      </c>
      <c r="H49" t="inlineStr">
        <is>
          <t>Male</t>
        </is>
      </c>
      <c r="I49" t="inlineStr">
        <is>
          <t>yz</t>
        </is>
      </c>
      <c r="J49" t="inlineStr">
        <is>
          <t>buyz35crisis</t>
        </is>
      </c>
      <c r="K49" t="inlineStr">
        <is>
          <t>yz</t>
        </is>
      </c>
      <c r="L49" t="inlineStr">
        <is>
          <t>ongoingtreatment</t>
        </is>
      </c>
      <c r="N49" s="4" t="n"/>
      <c r="R49" s="6">
        <f>IF(OR(Q49="",P49=""),"",TEXT(Q49-P49,"[h]:mm"))</f>
        <v/>
      </c>
      <c r="S49" s="6">
        <f>IF(B49="","",IF(Q49&lt;&gt;"",TEXT(Q49-B49,"[h]:mm"),IF(U49&lt;&gt;"",TEXT(U49-B49,"[h]:mm"),"")))</f>
        <v/>
      </c>
      <c r="T49" s="6">
        <f>IF(OR(O49="",B49=""),"",TEXT(O49-B49,"[h]:mm"))</f>
        <v/>
      </c>
    </row>
    <row r="50">
      <c r="A50" t="inlineStr">
        <is>
          <t>ED WCC</t>
        </is>
      </c>
      <c r="B50" s="3" t="n">
        <v>45721.41666666666</v>
      </c>
      <c r="C50" t="inlineStr">
        <is>
          <t>Rohani bin Hamid</t>
        </is>
      </c>
      <c r="D50" t="inlineStr">
        <is>
          <t>Rohani</t>
        </is>
      </c>
      <c r="E50" s="4" t="inlineStr">
        <is>
          <t>160621-14-7647</t>
        </is>
      </c>
      <c r="F50" t="inlineStr">
        <is>
          <t>MRN992423</t>
        </is>
      </c>
      <c r="G50" s="5" t="n">
        <v>9</v>
      </c>
      <c r="H50" t="inlineStr">
        <is>
          <t>Male</t>
        </is>
      </c>
      <c r="I50" t="inlineStr">
        <is>
          <t>gz</t>
        </is>
      </c>
      <c r="J50" t="inlineStr">
        <is>
          <t>wccgz-waiting</t>
        </is>
      </c>
      <c r="K50" t="inlineStr">
        <is>
          <t>gz</t>
        </is>
      </c>
      <c r="L50" t="inlineStr">
        <is>
          <t>ongoingtreatment</t>
        </is>
      </c>
      <c r="N50" s="4" t="inlineStr">
        <is>
          <t>16</t>
        </is>
      </c>
      <c r="R50" s="6">
        <f>IF(OR(Q50="",P50=""),"",TEXT(Q50-P50,"[h]:mm"))</f>
        <v/>
      </c>
      <c r="S50" s="6">
        <f>IF(B50="","",IF(Q50&lt;&gt;"",TEXT(Q50-B50,"[h]:mm"),IF(U50&lt;&gt;"",TEXT(U50-B50,"[h]:mm"),"")))</f>
        <v/>
      </c>
      <c r="T50" s="6">
        <f>IF(OR(O50="",B50=""),"",TEXT(O50-B50,"[h]:mm"))</f>
        <v/>
      </c>
    </row>
    <row r="51">
      <c r="A51" t="inlineStr">
        <is>
          <t>ED BU</t>
        </is>
      </c>
      <c r="B51" s="3" t="n">
        <v>45721.41944444444</v>
      </c>
      <c r="C51" t="inlineStr">
        <is>
          <t>Suraya binti Ahmad</t>
        </is>
      </c>
      <c r="D51" t="inlineStr">
        <is>
          <t>Suraya</t>
        </is>
      </c>
      <c r="E51" s="4" t="inlineStr">
        <is>
          <t>820525-12-2142</t>
        </is>
      </c>
      <c r="F51" t="inlineStr">
        <is>
          <t>MRN335136</t>
        </is>
      </c>
      <c r="G51" s="5" t="n">
        <v>43</v>
      </c>
      <c r="H51" t="inlineStr">
        <is>
          <t>Female</t>
        </is>
      </c>
      <c r="I51" t="inlineStr">
        <is>
          <t>gz</t>
        </is>
      </c>
      <c r="J51" t="inlineStr">
        <is>
          <t>bugz-waiting</t>
        </is>
      </c>
      <c r="K51" t="inlineStr">
        <is>
          <t>gz</t>
        </is>
      </c>
      <c r="L51" t="inlineStr">
        <is>
          <t>ongoingtreatment</t>
        </is>
      </c>
      <c r="N51" s="4" t="inlineStr">
        <is>
          <t>5</t>
        </is>
      </c>
      <c r="R51" s="6">
        <f>IF(OR(Q51="",P51=""),"",TEXT(Q51-P51,"[h]:mm"))</f>
        <v/>
      </c>
      <c r="S51" s="6">
        <f>IF(B51="","",IF(Q51&lt;&gt;"",TEXT(Q51-B51,"[h]:mm"),IF(U51&lt;&gt;"",TEXT(U51-B51,"[h]:mm"),"")))</f>
        <v/>
      </c>
      <c r="T51" s="6">
        <f>IF(OR(O51="",B51=""),"",TEXT(O51-B51,"[h]:mm"))</f>
        <v/>
      </c>
    </row>
    <row r="52">
      <c r="A52" t="inlineStr">
        <is>
          <t>ED BU</t>
        </is>
      </c>
      <c r="B52" s="3" t="n">
        <v>45721.41944444444</v>
      </c>
      <c r="C52" t="inlineStr">
        <is>
          <t>Aisyah binti Zakaria</t>
        </is>
      </c>
      <c r="D52" t="inlineStr">
        <is>
          <t>Aisyah</t>
        </is>
      </c>
      <c r="E52" s="4" t="inlineStr">
        <is>
          <t>440121-04-0694</t>
        </is>
      </c>
      <c r="F52" t="inlineStr">
        <is>
          <t>MRN392097</t>
        </is>
      </c>
      <c r="G52" s="5" t="n">
        <v>81</v>
      </c>
      <c r="H52" t="inlineStr">
        <is>
          <t>Female</t>
        </is>
      </c>
      <c r="I52" t="inlineStr">
        <is>
          <t>gz</t>
        </is>
      </c>
      <c r="J52" t="inlineStr">
        <is>
          <t>bugz-waiting</t>
        </is>
      </c>
      <c r="K52" t="inlineStr">
        <is>
          <t>gz</t>
        </is>
      </c>
      <c r="L52" t="inlineStr">
        <is>
          <t>ongoingtreatment</t>
        </is>
      </c>
      <c r="N52" s="4" t="inlineStr">
        <is>
          <t>16</t>
        </is>
      </c>
      <c r="R52" s="6">
        <f>IF(OR(Q52="",P52=""),"",TEXT(Q52-P52,"[h]:mm"))</f>
        <v/>
      </c>
      <c r="S52" s="6">
        <f>IF(B52="","",IF(Q52&lt;&gt;"",TEXT(Q52-B52,"[h]:mm"),IF(U52&lt;&gt;"",TEXT(U52-B52,"[h]:mm"),"")))</f>
        <v/>
      </c>
      <c r="T52" s="6">
        <f>IF(OR(O52="",B52=""),"",TEXT(O52-B52,"[h]:mm"))</f>
        <v/>
      </c>
    </row>
    <row r="53">
      <c r="A53" t="inlineStr">
        <is>
          <t>ED BU</t>
        </is>
      </c>
      <c r="B53" s="3" t="n">
        <v>45721.42152777778</v>
      </c>
      <c r="C53" t="inlineStr">
        <is>
          <t>Syed binti Ahmad</t>
        </is>
      </c>
      <c r="D53" t="inlineStr">
        <is>
          <t>Syed</t>
        </is>
      </c>
      <c r="E53" s="4" t="inlineStr">
        <is>
          <t>050409-06-8194</t>
        </is>
      </c>
      <c r="F53" t="inlineStr">
        <is>
          <t>MRN694482</t>
        </is>
      </c>
      <c r="G53" s="5" t="n">
        <v>20</v>
      </c>
      <c r="H53" t="inlineStr">
        <is>
          <t>Female</t>
        </is>
      </c>
      <c r="I53" t="inlineStr">
        <is>
          <t>yz</t>
        </is>
      </c>
      <c r="J53" t="inlineStr">
        <is>
          <t>buyz02</t>
        </is>
      </c>
      <c r="K53" t="inlineStr">
        <is>
          <t>yz</t>
        </is>
      </c>
      <c r="L53" t="inlineStr">
        <is>
          <t>ongoingtreatment</t>
        </is>
      </c>
      <c r="N53" s="4" t="n"/>
      <c r="R53" s="6">
        <f>IF(OR(Q53="",P53=""),"",TEXT(Q53-P53,"[h]:mm"))</f>
        <v/>
      </c>
      <c r="S53" s="6">
        <f>IF(B53="","",IF(Q53&lt;&gt;"",TEXT(Q53-B53,"[h]:mm"),IF(U53&lt;&gt;"",TEXT(U53-B53,"[h]:mm"),"")))</f>
        <v/>
      </c>
      <c r="T53" s="6">
        <f>IF(OR(O53="",B53=""),"",TEXT(O53-B53,"[h]:mm"))</f>
        <v/>
      </c>
    </row>
    <row r="54">
      <c r="A54" t="inlineStr">
        <is>
          <t>PAC WCC</t>
        </is>
      </c>
      <c r="B54" s="3" t="n">
        <v>45721.42152777778</v>
      </c>
      <c r="C54" t="inlineStr">
        <is>
          <t>Hafiz binti Abdullah</t>
        </is>
      </c>
      <c r="D54" t="inlineStr">
        <is>
          <t>Hafiz</t>
        </is>
      </c>
      <c r="E54" s="4" t="inlineStr">
        <is>
          <t>840613-13-3636</t>
        </is>
      </c>
      <c r="F54" t="inlineStr">
        <is>
          <t>MRN771367</t>
        </is>
      </c>
      <c r="G54" s="5" t="n">
        <v>41</v>
      </c>
      <c r="H54" t="inlineStr">
        <is>
          <t>Female</t>
        </is>
      </c>
      <c r="I54" t="inlineStr">
        <is>
          <t>pac</t>
        </is>
      </c>
      <c r="J54" t="inlineStr">
        <is>
          <t>wccpac08</t>
        </is>
      </c>
      <c r="K54" t="inlineStr">
        <is>
          <t>pac</t>
        </is>
      </c>
      <c r="L54" t="inlineStr">
        <is>
          <t>preadmit</t>
        </is>
      </c>
      <c r="M54" t="inlineStr">
        <is>
          <t>O&amp;G</t>
        </is>
      </c>
      <c r="N54" s="4" t="n"/>
      <c r="P54" s="3" t="n">
        <v>45721.58402777778</v>
      </c>
      <c r="R54" s="6">
        <f>IF(OR(Q54="",P54=""),"",TEXT(Q54-P54,"[h]:mm"))</f>
        <v/>
      </c>
      <c r="S54" s="6">
        <f>IF(B54="","",IF(Q54&lt;&gt;"",TEXT(Q54-B54,"[h]:mm"),IF(U54&lt;&gt;"",TEXT(U54-B54,"[h]:mm"),"")))</f>
        <v/>
      </c>
      <c r="T54" s="6">
        <f>IF(OR(O54="",B54=""),"",TEXT(O54-B54,"[h]:mm"))</f>
        <v/>
      </c>
    </row>
    <row r="55">
      <c r="A55" t="inlineStr">
        <is>
          <t>ED BU</t>
        </is>
      </c>
      <c r="B55" s="3" t="n">
        <v>45721.42222222222</v>
      </c>
      <c r="C55" t="inlineStr">
        <is>
          <t>Siti binti Ibrahim</t>
        </is>
      </c>
      <c r="D55" t="inlineStr">
        <is>
          <t>Siti</t>
        </is>
      </c>
      <c r="E55" s="4" t="inlineStr">
        <is>
          <t>921003-04-8735</t>
        </is>
      </c>
      <c r="F55" t="inlineStr">
        <is>
          <t>MRN196535</t>
        </is>
      </c>
      <c r="G55" s="5" t="n">
        <v>33</v>
      </c>
      <c r="H55" t="inlineStr">
        <is>
          <t>Female</t>
        </is>
      </c>
      <c r="I55" t="inlineStr">
        <is>
          <t>gz</t>
        </is>
      </c>
      <c r="J55" t="inlineStr">
        <is>
          <t>bugz-waiting</t>
        </is>
      </c>
      <c r="K55" t="inlineStr">
        <is>
          <t>gz</t>
        </is>
      </c>
      <c r="L55" t="inlineStr">
        <is>
          <t>ongoingtreatment</t>
        </is>
      </c>
      <c r="N55" s="4" t="inlineStr">
        <is>
          <t>2</t>
        </is>
      </c>
      <c r="R55" s="6">
        <f>IF(OR(Q55="",P55=""),"",TEXT(Q55-P55,"[h]:mm"))</f>
        <v/>
      </c>
      <c r="S55" s="6">
        <f>IF(B55="","",IF(Q55&lt;&gt;"",TEXT(Q55-B55,"[h]:mm"),IF(U55&lt;&gt;"",TEXT(U55-B55,"[h]:mm"),"")))</f>
        <v/>
      </c>
      <c r="T55" s="6">
        <f>IF(OR(O55="",B55=""),"",TEXT(O55-B55,"[h]:mm"))</f>
        <v/>
      </c>
    </row>
    <row r="56">
      <c r="A56" t="inlineStr">
        <is>
          <t>ED BU</t>
        </is>
      </c>
      <c r="B56" s="3" t="n">
        <v>45721.42291666667</v>
      </c>
      <c r="C56" t="inlineStr">
        <is>
          <t>Nurul bin Hamid</t>
        </is>
      </c>
      <c r="D56" t="inlineStr">
        <is>
          <t>Nurul</t>
        </is>
      </c>
      <c r="E56" s="4" t="inlineStr">
        <is>
          <t>791024-11-0078</t>
        </is>
      </c>
      <c r="F56" t="inlineStr">
        <is>
          <t>MRN946730</t>
        </is>
      </c>
      <c r="G56" s="5" t="n">
        <v>46</v>
      </c>
      <c r="H56" t="inlineStr">
        <is>
          <t>Male</t>
        </is>
      </c>
      <c r="I56" t="inlineStr">
        <is>
          <t>yz</t>
        </is>
      </c>
      <c r="J56" t="inlineStr">
        <is>
          <t>buyz11</t>
        </is>
      </c>
      <c r="K56" t="inlineStr">
        <is>
          <t>yz</t>
        </is>
      </c>
      <c r="L56" t="inlineStr">
        <is>
          <t>preadmit</t>
        </is>
      </c>
      <c r="M56" t="inlineStr">
        <is>
          <t>Surgical</t>
        </is>
      </c>
      <c r="N56" s="4" t="n"/>
      <c r="P56" s="3" t="n">
        <v>45721.52083333334</v>
      </c>
      <c r="R56" s="6">
        <f>IF(OR(Q56="",P56=""),"",TEXT(Q56-P56,"[h]:mm"))</f>
        <v/>
      </c>
      <c r="S56" s="6">
        <f>IF(B56="","",IF(Q56&lt;&gt;"",TEXT(Q56-B56,"[h]:mm"),IF(U56&lt;&gt;"",TEXT(U56-B56,"[h]:mm"),"")))</f>
        <v/>
      </c>
      <c r="T56" s="6">
        <f>IF(OR(O56="",B56=""),"",TEXT(O56-B56,"[h]:mm"))</f>
        <v/>
      </c>
    </row>
    <row r="57">
      <c r="A57" t="inlineStr">
        <is>
          <t>ED BU</t>
        </is>
      </c>
      <c r="B57" s="3" t="n">
        <v>45721.42430555556</v>
      </c>
      <c r="C57" t="inlineStr">
        <is>
          <t>Mohamed binti Hamid</t>
        </is>
      </c>
      <c r="D57" t="inlineStr">
        <is>
          <t>Mohamed</t>
        </is>
      </c>
      <c r="E57" s="4" t="inlineStr">
        <is>
          <t>640706-01-4718</t>
        </is>
      </c>
      <c r="F57" t="inlineStr">
        <is>
          <t>MRN874118</t>
        </is>
      </c>
      <c r="G57" s="5" t="n">
        <v>61</v>
      </c>
      <c r="H57" t="inlineStr">
        <is>
          <t>Female</t>
        </is>
      </c>
      <c r="I57" t="inlineStr">
        <is>
          <t>rz</t>
        </is>
      </c>
      <c r="J57" t="inlineStr">
        <is>
          <t>burz02</t>
        </is>
      </c>
      <c r="K57" t="inlineStr">
        <is>
          <t>rz</t>
        </is>
      </c>
      <c r="L57" t="inlineStr">
        <is>
          <t>ongoingtreatment</t>
        </is>
      </c>
      <c r="N57" s="4" t="n"/>
      <c r="R57" s="6">
        <f>IF(OR(Q57="",P57=""),"",TEXT(Q57-P57,"[h]:mm"))</f>
        <v/>
      </c>
      <c r="S57" s="6">
        <f>IF(B57="","",IF(Q57&lt;&gt;"",TEXT(Q57-B57,"[h]:mm"),IF(U57&lt;&gt;"",TEXT(U57-B57,"[h]:mm"),"")))</f>
        <v/>
      </c>
      <c r="T57" s="6">
        <f>IF(OR(O57="",B57=""),"",TEXT(O57-B57,"[h]:mm"))</f>
        <v/>
      </c>
    </row>
    <row r="58">
      <c r="A58" t="inlineStr">
        <is>
          <t>ED BU</t>
        </is>
      </c>
      <c r="B58" s="3" t="n">
        <v>45721.42430555556</v>
      </c>
      <c r="C58" t="inlineStr">
        <is>
          <t>Aisyah bin Osman</t>
        </is>
      </c>
      <c r="D58" t="inlineStr">
        <is>
          <t>Aisyah</t>
        </is>
      </c>
      <c r="E58" s="4" t="inlineStr">
        <is>
          <t>980605-10-0045</t>
        </is>
      </c>
      <c r="F58" t="inlineStr">
        <is>
          <t>MRN564696</t>
        </is>
      </c>
      <c r="G58" s="5" t="n">
        <v>27</v>
      </c>
      <c r="H58" t="inlineStr">
        <is>
          <t>Male</t>
        </is>
      </c>
      <c r="I58" t="inlineStr">
        <is>
          <t>gz</t>
        </is>
      </c>
      <c r="J58" t="inlineStr">
        <is>
          <t>bugz-waiting</t>
        </is>
      </c>
      <c r="K58" t="inlineStr">
        <is>
          <t>gz</t>
        </is>
      </c>
      <c r="L58" t="inlineStr">
        <is>
          <t>ongoingtreatment</t>
        </is>
      </c>
      <c r="N58" s="4" t="inlineStr">
        <is>
          <t>45</t>
        </is>
      </c>
      <c r="R58" s="6">
        <f>IF(OR(Q58="",P58=""),"",TEXT(Q58-P58,"[h]:mm"))</f>
        <v/>
      </c>
      <c r="S58" s="6">
        <f>IF(B58="","",IF(Q58&lt;&gt;"",TEXT(Q58-B58,"[h]:mm"),IF(U58&lt;&gt;"",TEXT(U58-B58,"[h]:mm"),"")))</f>
        <v/>
      </c>
      <c r="T58" s="6">
        <f>IF(OR(O58="",B58=""),"",TEXT(O58-B58,"[h]:mm"))</f>
        <v/>
      </c>
    </row>
    <row r="59">
      <c r="A59" t="inlineStr">
        <is>
          <t>ED WCC</t>
        </is>
      </c>
      <c r="B59" s="3" t="n">
        <v>45721.42638888889</v>
      </c>
      <c r="C59" t="inlineStr">
        <is>
          <t>Hasnah bin Salleh</t>
        </is>
      </c>
      <c r="D59" t="inlineStr">
        <is>
          <t>Hasnah</t>
        </is>
      </c>
      <c r="E59" s="4" t="inlineStr">
        <is>
          <t>130817-11-8148</t>
        </is>
      </c>
      <c r="F59" t="inlineStr">
        <is>
          <t>MRN203730</t>
        </is>
      </c>
      <c r="G59" s="5" t="n">
        <v>12</v>
      </c>
      <c r="H59" t="inlineStr">
        <is>
          <t>Male</t>
        </is>
      </c>
      <c r="I59" t="inlineStr">
        <is>
          <t>gz</t>
        </is>
      </c>
      <c r="J59" t="inlineStr">
        <is>
          <t>wccgz01</t>
        </is>
      </c>
      <c r="K59" t="inlineStr">
        <is>
          <t>gz</t>
        </is>
      </c>
      <c r="L59" t="inlineStr">
        <is>
          <t>ongoingtreatment</t>
        </is>
      </c>
      <c r="N59" s="4" t="inlineStr">
        <is>
          <t>29</t>
        </is>
      </c>
      <c r="O59" s="3" t="n">
        <v>45721.46666666667</v>
      </c>
      <c r="R59" s="6">
        <f>IF(OR(Q59="",P59=""),"",TEXT(Q59-P59,"[h]:mm"))</f>
        <v/>
      </c>
      <c r="S59" s="6">
        <f>IF(B59="","",IF(Q59&lt;&gt;"",TEXT(Q59-B59,"[h]:mm"),IF(U59&lt;&gt;"",TEXT(U59-B59,"[h]:mm"),"")))</f>
        <v/>
      </c>
      <c r="T59" s="6">
        <f>IF(OR(O59="",B59=""),"",TEXT(O59-B59,"[h]:mm"))</f>
        <v/>
      </c>
    </row>
    <row r="60">
      <c r="A60" t="inlineStr">
        <is>
          <t>ED BU</t>
        </is>
      </c>
      <c r="B60" s="3" t="n">
        <v>45721.42708333334</v>
      </c>
      <c r="C60" t="inlineStr">
        <is>
          <t>Nurul binti Hassan</t>
        </is>
      </c>
      <c r="D60" t="inlineStr">
        <is>
          <t>Nurul</t>
        </is>
      </c>
      <c r="E60" s="4" t="inlineStr">
        <is>
          <t>430803-01-7602</t>
        </is>
      </c>
      <c r="F60" t="inlineStr">
        <is>
          <t>MRN347407</t>
        </is>
      </c>
      <c r="G60" s="5" t="n">
        <v>82</v>
      </c>
      <c r="H60" t="inlineStr">
        <is>
          <t>Female</t>
        </is>
      </c>
      <c r="I60" t="inlineStr">
        <is>
          <t>gz</t>
        </is>
      </c>
      <c r="J60" t="inlineStr">
        <is>
          <t>bugz-waiting</t>
        </is>
      </c>
      <c r="K60" t="inlineStr">
        <is>
          <t>gz</t>
        </is>
      </c>
      <c r="L60" t="inlineStr">
        <is>
          <t>ongoingtreatment</t>
        </is>
      </c>
      <c r="N60" s="4" t="inlineStr">
        <is>
          <t>1</t>
        </is>
      </c>
      <c r="R60" s="6">
        <f>IF(OR(Q60="",P60=""),"",TEXT(Q60-P60,"[h]:mm"))</f>
        <v/>
      </c>
      <c r="S60" s="6">
        <f>IF(B60="","",IF(Q60&lt;&gt;"",TEXT(Q60-B60,"[h]:mm"),IF(U60&lt;&gt;"",TEXT(U60-B60,"[h]:mm"),"")))</f>
        <v/>
      </c>
      <c r="T60" s="6">
        <f>IF(OR(O60="",B60=""),"",TEXT(O60-B60,"[h]:mm"))</f>
        <v/>
      </c>
    </row>
    <row r="61">
      <c r="A61" t="inlineStr">
        <is>
          <t>ED WCC</t>
        </is>
      </c>
      <c r="B61" s="3" t="n">
        <v>45721.42777777778</v>
      </c>
      <c r="C61" t="inlineStr">
        <is>
          <t>Shahril bin Yusof</t>
        </is>
      </c>
      <c r="D61" t="inlineStr">
        <is>
          <t>Shahril</t>
        </is>
      </c>
      <c r="E61" s="4" t="inlineStr">
        <is>
          <t>970912-14-5551</t>
        </is>
      </c>
      <c r="F61" t="inlineStr">
        <is>
          <t>MRN168664</t>
        </is>
      </c>
      <c r="G61" s="5" t="n">
        <v>28</v>
      </c>
      <c r="H61" t="inlineStr">
        <is>
          <t>Male</t>
        </is>
      </c>
      <c r="I61" t="inlineStr">
        <is>
          <t>ab</t>
        </is>
      </c>
      <c r="J61" t="inlineStr">
        <is>
          <t>wccab04</t>
        </is>
      </c>
      <c r="K61" t="inlineStr">
        <is>
          <t>ab</t>
        </is>
      </c>
      <c r="L61" t="inlineStr">
        <is>
          <t>ongoingtreatment</t>
        </is>
      </c>
      <c r="N61" s="4" t="n"/>
      <c r="R61" s="6">
        <f>IF(OR(Q61="",P61=""),"",TEXT(Q61-P61,"[h]:mm"))</f>
        <v/>
      </c>
      <c r="S61" s="6">
        <f>IF(B61="","",IF(Q61&lt;&gt;"",TEXT(Q61-B61,"[h]:mm"),IF(U61&lt;&gt;"",TEXT(U61-B61,"[h]:mm"),"")))</f>
        <v/>
      </c>
      <c r="T61" s="6">
        <f>IF(OR(O61="",B61=""),"",TEXT(O61-B61,"[h]:mm"))</f>
        <v/>
      </c>
    </row>
    <row r="62">
      <c r="A62" t="inlineStr">
        <is>
          <t>ED BU</t>
        </is>
      </c>
      <c r="B62" s="3" t="n">
        <v>45721.43055555555</v>
      </c>
      <c r="C62" t="inlineStr">
        <is>
          <t>Anis bin Ibrahim</t>
        </is>
      </c>
      <c r="D62" t="inlineStr">
        <is>
          <t>Anis</t>
        </is>
      </c>
      <c r="E62" s="4" t="inlineStr">
        <is>
          <t>090602-07-7607</t>
        </is>
      </c>
      <c r="F62" t="inlineStr">
        <is>
          <t>MRN567536</t>
        </is>
      </c>
      <c r="G62" s="5" t="n">
        <v>16</v>
      </c>
      <c r="H62" t="inlineStr">
        <is>
          <t>Male</t>
        </is>
      </c>
      <c r="I62" t="inlineStr">
        <is>
          <t>yz</t>
        </is>
      </c>
      <c r="J62" t="inlineStr">
        <is>
          <t>buyz13</t>
        </is>
      </c>
      <c r="K62" t="inlineStr">
        <is>
          <t>yz</t>
        </is>
      </c>
      <c r="L62" t="inlineStr">
        <is>
          <t>preadmit</t>
        </is>
      </c>
      <c r="M62" t="inlineStr">
        <is>
          <t>Paediatric</t>
        </is>
      </c>
      <c r="N62" s="4" t="n"/>
      <c r="P62" s="3" t="n">
        <v>45721.57847222222</v>
      </c>
      <c r="R62" s="6">
        <f>IF(OR(Q62="",P62=""),"",TEXT(Q62-P62,"[h]:mm"))</f>
        <v/>
      </c>
      <c r="S62" s="6">
        <f>IF(B62="","",IF(Q62&lt;&gt;"",TEXT(Q62-B62,"[h]:mm"),IF(U62&lt;&gt;"",TEXT(U62-B62,"[h]:mm"),"")))</f>
        <v/>
      </c>
      <c r="T62" s="6">
        <f>IF(OR(O62="",B62=""),"",TEXT(O62-B62,"[h]:mm"))</f>
        <v/>
      </c>
    </row>
    <row r="63">
      <c r="A63" t="inlineStr">
        <is>
          <t>ED WCC</t>
        </is>
      </c>
      <c r="B63" s="3" t="n">
        <v>45721.43125</v>
      </c>
      <c r="C63" t="inlineStr">
        <is>
          <t>Zulkifli bin Mohamed</t>
        </is>
      </c>
      <c r="D63" t="inlineStr">
        <is>
          <t>Zulkifli</t>
        </is>
      </c>
      <c r="E63" s="4" t="inlineStr">
        <is>
          <t>630415-11-7847</t>
        </is>
      </c>
      <c r="F63" t="inlineStr">
        <is>
          <t>MRN721706</t>
        </is>
      </c>
      <c r="G63" s="5" t="n">
        <v>62</v>
      </c>
      <c r="H63" t="inlineStr">
        <is>
          <t>Male</t>
        </is>
      </c>
      <c r="I63" t="inlineStr">
        <is>
          <t>gz</t>
        </is>
      </c>
      <c r="J63" t="inlineStr">
        <is>
          <t>wccgz-waiting</t>
        </is>
      </c>
      <c r="K63" t="inlineStr">
        <is>
          <t>gz</t>
        </is>
      </c>
      <c r="L63" t="inlineStr">
        <is>
          <t>ongoingtreatment</t>
        </is>
      </c>
      <c r="N63" s="4" t="inlineStr">
        <is>
          <t>39</t>
        </is>
      </c>
      <c r="R63" s="6">
        <f>IF(OR(Q63="",P63=""),"",TEXT(Q63-P63,"[h]:mm"))</f>
        <v/>
      </c>
      <c r="S63" s="6">
        <f>IF(B63="","",IF(Q63&lt;&gt;"",TEXT(Q63-B63,"[h]:mm"),IF(U63&lt;&gt;"",TEXT(U63-B63,"[h]:mm"),"")))</f>
        <v/>
      </c>
      <c r="T63" s="6">
        <f>IF(OR(O63="",B63=""),"",TEXT(O63-B63,"[h]:mm"))</f>
        <v/>
      </c>
    </row>
    <row r="64">
      <c r="A64" t="inlineStr">
        <is>
          <t>ED BU</t>
        </is>
      </c>
      <c r="B64" s="3" t="n">
        <v>45721.43125</v>
      </c>
      <c r="C64" t="inlineStr">
        <is>
          <t>Nizam binti Rahman</t>
        </is>
      </c>
      <c r="D64" t="inlineStr">
        <is>
          <t>Nizam</t>
        </is>
      </c>
      <c r="E64" s="4" t="inlineStr">
        <is>
          <t>420818-11-7658</t>
        </is>
      </c>
      <c r="F64" t="inlineStr">
        <is>
          <t>MRN399085</t>
        </is>
      </c>
      <c r="G64" s="5" t="n">
        <v>83</v>
      </c>
      <c r="H64" t="inlineStr">
        <is>
          <t>Female</t>
        </is>
      </c>
      <c r="I64" t="inlineStr">
        <is>
          <t>rz</t>
        </is>
      </c>
      <c r="J64" t="inlineStr">
        <is>
          <t>burz01</t>
        </is>
      </c>
      <c r="K64" t="inlineStr">
        <is>
          <t>rz</t>
        </is>
      </c>
      <c r="L64" t="inlineStr">
        <is>
          <t>ongoingtreatment</t>
        </is>
      </c>
      <c r="N64" s="4" t="n"/>
      <c r="R64" s="6">
        <f>IF(OR(Q64="",P64=""),"",TEXT(Q64-P64,"[h]:mm"))</f>
        <v/>
      </c>
      <c r="S64" s="6">
        <f>IF(B64="","",IF(Q64&lt;&gt;"",TEXT(Q64-B64,"[h]:mm"),IF(U64&lt;&gt;"",TEXT(U64-B64,"[h]:mm"),"")))</f>
        <v/>
      </c>
      <c r="T64" s="6">
        <f>IF(OR(O64="",B64=""),"",TEXT(O64-B64,"[h]:mm"))</f>
        <v/>
      </c>
    </row>
    <row r="65">
      <c r="A65" t="inlineStr">
        <is>
          <t>ED BU</t>
        </is>
      </c>
      <c r="B65" s="3" t="n">
        <v>45721.43125</v>
      </c>
      <c r="C65" t="inlineStr">
        <is>
          <t>Danial binti Abdullah</t>
        </is>
      </c>
      <c r="D65" t="inlineStr">
        <is>
          <t>Danial</t>
        </is>
      </c>
      <c r="E65" s="4" t="inlineStr">
        <is>
          <t>670910-08-4414</t>
        </is>
      </c>
      <c r="F65" t="inlineStr">
        <is>
          <t>MRN181838</t>
        </is>
      </c>
      <c r="G65" s="5" t="n">
        <v>58</v>
      </c>
      <c r="H65" t="inlineStr">
        <is>
          <t>Female</t>
        </is>
      </c>
      <c r="I65" t="inlineStr">
        <is>
          <t>gz</t>
        </is>
      </c>
      <c r="J65" t="inlineStr">
        <is>
          <t>bugz-waiting</t>
        </is>
      </c>
      <c r="K65" t="inlineStr">
        <is>
          <t>gz</t>
        </is>
      </c>
      <c r="L65" t="inlineStr">
        <is>
          <t>ongoingtreatment</t>
        </is>
      </c>
      <c r="N65" s="4" t="inlineStr">
        <is>
          <t>12</t>
        </is>
      </c>
      <c r="R65" s="6">
        <f>IF(OR(Q65="",P65=""),"",TEXT(Q65-P65,"[h]:mm"))</f>
        <v/>
      </c>
      <c r="S65" s="6">
        <f>IF(B65="","",IF(Q65&lt;&gt;"",TEXT(Q65-B65,"[h]:mm"),IF(U65&lt;&gt;"",TEXT(U65-B65,"[h]:mm"),"")))</f>
        <v/>
      </c>
      <c r="T65" s="6">
        <f>IF(OR(O65="",B65=""),"",TEXT(O65-B65,"[h]:mm"))</f>
        <v/>
      </c>
    </row>
    <row r="66">
      <c r="A66" t="inlineStr">
        <is>
          <t>ED BU</t>
        </is>
      </c>
      <c r="B66" s="3" t="n">
        <v>45721.43333333333</v>
      </c>
      <c r="C66" t="inlineStr">
        <is>
          <t>Izzuddin bin Yusof</t>
        </is>
      </c>
      <c r="D66" t="inlineStr">
        <is>
          <t>Izzuddin</t>
        </is>
      </c>
      <c r="E66" s="4" t="inlineStr">
        <is>
          <t>440102-10-5517</t>
        </is>
      </c>
      <c r="F66" t="inlineStr">
        <is>
          <t>MRN719475</t>
        </is>
      </c>
      <c r="G66" s="5" t="n">
        <v>81</v>
      </c>
      <c r="H66" t="inlineStr">
        <is>
          <t>Male</t>
        </is>
      </c>
      <c r="I66" t="inlineStr">
        <is>
          <t>yz</t>
        </is>
      </c>
      <c r="J66" t="inlineStr">
        <is>
          <t>buyz40crisis</t>
        </is>
      </c>
      <c r="K66" t="inlineStr">
        <is>
          <t>yz</t>
        </is>
      </c>
      <c r="L66" t="inlineStr">
        <is>
          <t>discharge</t>
        </is>
      </c>
      <c r="N66" s="4" t="n"/>
      <c r="R66" s="6">
        <f>IF(OR(Q66="",P66=""),"",TEXT(Q66-P66,"[h]:mm"))</f>
        <v/>
      </c>
      <c r="S66" s="6">
        <f>IF(B66="","",IF(Q66&lt;&gt;"",TEXT(Q66-B66,"[h]:mm"),IF(U66&lt;&gt;"",TEXT(U66-B66,"[h]:mm"),"")))</f>
        <v/>
      </c>
      <c r="T66" s="6">
        <f>IF(OR(O66="",B66=""),"",TEXT(O66-B66,"[h]:mm"))</f>
        <v/>
      </c>
      <c r="U66" s="3" t="n">
        <v>45721.60833333333</v>
      </c>
    </row>
    <row r="67">
      <c r="A67" t="inlineStr">
        <is>
          <t>ED BU</t>
        </is>
      </c>
      <c r="B67" s="3" t="n">
        <v>45721.43333333333</v>
      </c>
      <c r="C67" t="inlineStr">
        <is>
          <t>Nizam binti Mohamed</t>
        </is>
      </c>
      <c r="D67" t="inlineStr">
        <is>
          <t>Nizam</t>
        </is>
      </c>
      <c r="E67" s="4" t="inlineStr">
        <is>
          <t>921010-02-5012</t>
        </is>
      </c>
      <c r="F67" t="inlineStr">
        <is>
          <t>MRN458797</t>
        </is>
      </c>
      <c r="G67" s="5" t="n">
        <v>33</v>
      </c>
      <c r="H67" t="inlineStr">
        <is>
          <t>Female</t>
        </is>
      </c>
      <c r="I67" t="inlineStr">
        <is>
          <t>gz</t>
        </is>
      </c>
      <c r="J67" t="inlineStr">
        <is>
          <t>bugz-waiting</t>
        </is>
      </c>
      <c r="K67" t="inlineStr">
        <is>
          <t>gz</t>
        </is>
      </c>
      <c r="L67" t="inlineStr">
        <is>
          <t>ongoingtreatment</t>
        </is>
      </c>
      <c r="N67" s="4" t="inlineStr">
        <is>
          <t>44</t>
        </is>
      </c>
      <c r="R67" s="6">
        <f>IF(OR(Q67="",P67=""),"",TEXT(Q67-P67,"[h]:mm"))</f>
        <v/>
      </c>
      <c r="S67" s="6">
        <f>IF(B67="","",IF(Q67&lt;&gt;"",TEXT(Q67-B67,"[h]:mm"),IF(U67&lt;&gt;"",TEXT(U67-B67,"[h]:mm"),"")))</f>
        <v/>
      </c>
      <c r="T67" s="6">
        <f>IF(OR(O67="",B67=""),"",TEXT(O67-B67,"[h]:mm"))</f>
        <v/>
      </c>
    </row>
    <row r="68">
      <c r="A68" t="inlineStr">
        <is>
          <t>PAC WCC</t>
        </is>
      </c>
      <c r="B68" s="3" t="n">
        <v>45721.43541666667</v>
      </c>
      <c r="C68" t="inlineStr">
        <is>
          <t>Azman binti Mohamed</t>
        </is>
      </c>
      <c r="D68" t="inlineStr">
        <is>
          <t>Azman</t>
        </is>
      </c>
      <c r="E68" s="4" t="inlineStr">
        <is>
          <t>921012-03-4090</t>
        </is>
      </c>
      <c r="F68" t="inlineStr">
        <is>
          <t>MRN639009</t>
        </is>
      </c>
      <c r="G68" s="5" t="n">
        <v>33</v>
      </c>
      <c r="H68" t="inlineStr">
        <is>
          <t>Female</t>
        </is>
      </c>
      <c r="I68" t="inlineStr">
        <is>
          <t>pac</t>
        </is>
      </c>
      <c r="J68" t="inlineStr">
        <is>
          <t>wccpac06</t>
        </is>
      </c>
      <c r="K68" t="inlineStr">
        <is>
          <t>pac</t>
        </is>
      </c>
      <c r="L68" t="inlineStr">
        <is>
          <t>ongoingtreatment</t>
        </is>
      </c>
      <c r="N68" s="4" t="n"/>
      <c r="R68" s="6">
        <f>IF(OR(Q68="",P68=""),"",TEXT(Q68-P68,"[h]:mm"))</f>
        <v/>
      </c>
      <c r="S68" s="6">
        <f>IF(B68="","",IF(Q68&lt;&gt;"",TEXT(Q68-B68,"[h]:mm"),IF(U68&lt;&gt;"",TEXT(U68-B68,"[h]:mm"),"")))</f>
        <v/>
      </c>
      <c r="T68" s="6">
        <f>IF(OR(O68="",B68=""),"",TEXT(O68-B68,"[h]:mm"))</f>
        <v/>
      </c>
    </row>
    <row r="69">
      <c r="A69" t="inlineStr">
        <is>
          <t>ED WCC</t>
        </is>
      </c>
      <c r="B69" s="3" t="n">
        <v>45721.43680555555</v>
      </c>
      <c r="C69" t="inlineStr">
        <is>
          <t>Izzuddin bin Ismail</t>
        </is>
      </c>
      <c r="D69" t="inlineStr">
        <is>
          <t>Izzuddin</t>
        </is>
      </c>
      <c r="E69" s="4" t="inlineStr">
        <is>
          <t>210103-13-3899</t>
        </is>
      </c>
      <c r="F69" t="inlineStr">
        <is>
          <t>MRN264648</t>
        </is>
      </c>
      <c r="G69" s="5" t="n">
        <v>4</v>
      </c>
      <c r="H69" t="inlineStr">
        <is>
          <t>Male</t>
        </is>
      </c>
      <c r="I69" t="inlineStr">
        <is>
          <t>rz</t>
        </is>
      </c>
      <c r="J69" t="inlineStr">
        <is>
          <t>wccrz02</t>
        </is>
      </c>
      <c r="K69" t="inlineStr">
        <is>
          <t>rz</t>
        </is>
      </c>
      <c r="L69" t="inlineStr">
        <is>
          <t>ongoingtreatment</t>
        </is>
      </c>
      <c r="N69" s="4" t="n"/>
      <c r="R69" s="6">
        <f>IF(OR(Q69="",P69=""),"",TEXT(Q69-P69,"[h]:mm"))</f>
        <v/>
      </c>
      <c r="S69" s="6">
        <f>IF(B69="","",IF(Q69&lt;&gt;"",TEXT(Q69-B69,"[h]:mm"),IF(U69&lt;&gt;"",TEXT(U69-B69,"[h]:mm"),"")))</f>
        <v/>
      </c>
      <c r="T69" s="6">
        <f>IF(OR(O69="",B69=""),"",TEXT(O69-B69,"[h]:mm"))</f>
        <v/>
      </c>
    </row>
    <row r="70">
      <c r="A70" t="inlineStr">
        <is>
          <t>ED WCC</t>
        </is>
      </c>
      <c r="B70" s="3" t="n">
        <v>45721.43888888889</v>
      </c>
      <c r="C70" t="inlineStr">
        <is>
          <t>Hafizah bin Ahmad</t>
        </is>
      </c>
      <c r="D70" t="inlineStr">
        <is>
          <t>Hafizah</t>
        </is>
      </c>
      <c r="E70" s="4" t="inlineStr">
        <is>
          <t>221222-03-4033</t>
        </is>
      </c>
      <c r="F70" t="inlineStr">
        <is>
          <t>MRN610656</t>
        </is>
      </c>
      <c r="G70" s="5" t="n">
        <v>3</v>
      </c>
      <c r="H70" t="inlineStr">
        <is>
          <t>Male</t>
        </is>
      </c>
      <c r="I70" t="inlineStr">
        <is>
          <t>gz</t>
        </is>
      </c>
      <c r="J70" t="inlineStr">
        <is>
          <t>wccgz-waiting</t>
        </is>
      </c>
      <c r="K70" t="inlineStr">
        <is>
          <t>gz</t>
        </is>
      </c>
      <c r="L70" t="inlineStr">
        <is>
          <t>ongoingtreatment</t>
        </is>
      </c>
      <c r="N70" s="4" t="inlineStr">
        <is>
          <t>26</t>
        </is>
      </c>
      <c r="R70" s="6">
        <f>IF(OR(Q70="",P70=""),"",TEXT(Q70-P70,"[h]:mm"))</f>
        <v/>
      </c>
      <c r="S70" s="6">
        <f>IF(B70="","",IF(Q70&lt;&gt;"",TEXT(Q70-B70,"[h]:mm"),IF(U70&lt;&gt;"",TEXT(U70-B70,"[h]:mm"),"")))</f>
        <v/>
      </c>
      <c r="T70" s="6">
        <f>IF(OR(O70="",B70=""),"",TEXT(O70-B70,"[h]:mm"))</f>
        <v/>
      </c>
    </row>
    <row r="71">
      <c r="A71" t="inlineStr">
        <is>
          <t>ED WCC</t>
        </is>
      </c>
      <c r="B71" s="3" t="n">
        <v>45721.44097222222</v>
      </c>
      <c r="C71" t="inlineStr">
        <is>
          <t>Izzuddin bin Abdullah</t>
        </is>
      </c>
      <c r="D71" t="inlineStr">
        <is>
          <t>Izzuddin</t>
        </is>
      </c>
      <c r="E71" s="4" t="inlineStr">
        <is>
          <t>961219-06-5088</t>
        </is>
      </c>
      <c r="F71" t="inlineStr">
        <is>
          <t>MRN144432</t>
        </is>
      </c>
      <c r="G71" s="5" t="n">
        <v>29</v>
      </c>
      <c r="H71" t="inlineStr">
        <is>
          <t>Male</t>
        </is>
      </c>
      <c r="I71" t="inlineStr">
        <is>
          <t>ob</t>
        </is>
      </c>
      <c r="J71" t="inlineStr">
        <is>
          <t>wccob04</t>
        </is>
      </c>
      <c r="K71" t="inlineStr">
        <is>
          <t>ob</t>
        </is>
      </c>
      <c r="L71" t="inlineStr">
        <is>
          <t>ongoingtreatment</t>
        </is>
      </c>
      <c r="N71" s="4" t="n"/>
      <c r="R71" s="6">
        <f>IF(OR(Q71="",P71=""),"",TEXT(Q71-P71,"[h]:mm"))</f>
        <v/>
      </c>
      <c r="S71" s="6">
        <f>IF(B71="","",IF(Q71&lt;&gt;"",TEXT(Q71-B71,"[h]:mm"),IF(U71&lt;&gt;"",TEXT(U71-B71,"[h]:mm"),"")))</f>
        <v/>
      </c>
      <c r="T71" s="6">
        <f>IF(OR(O71="",B71=""),"",TEXT(O71-B71,"[h]:mm"))</f>
        <v/>
      </c>
    </row>
    <row r="72">
      <c r="A72" t="inlineStr">
        <is>
          <t>ED BU</t>
        </is>
      </c>
      <c r="B72" s="3" t="n">
        <v>45721.44097222222</v>
      </c>
      <c r="C72" t="inlineStr">
        <is>
          <t>Ahmad binti Omar</t>
        </is>
      </c>
      <c r="D72" t="inlineStr">
        <is>
          <t>Ahmad</t>
        </is>
      </c>
      <c r="E72" s="4" t="inlineStr">
        <is>
          <t>611114-01-7239</t>
        </is>
      </c>
      <c r="F72" t="inlineStr">
        <is>
          <t>MRN537600</t>
        </is>
      </c>
      <c r="G72" s="5" t="n">
        <v>64</v>
      </c>
      <c r="H72" t="inlineStr">
        <is>
          <t>Female</t>
        </is>
      </c>
      <c r="I72" t="inlineStr">
        <is>
          <t>yz</t>
        </is>
      </c>
      <c r="J72" t="inlineStr">
        <is>
          <t>buyz23crisis</t>
        </is>
      </c>
      <c r="K72" t="inlineStr">
        <is>
          <t>yz</t>
        </is>
      </c>
      <c r="L72" t="inlineStr">
        <is>
          <t>admitted</t>
        </is>
      </c>
      <c r="M72" t="inlineStr">
        <is>
          <t>Medical</t>
        </is>
      </c>
      <c r="N72" s="4" t="n"/>
      <c r="P72" s="3" t="n">
        <v>45721.59027777778</v>
      </c>
      <c r="Q72" s="3" t="n">
        <v>45721.625</v>
      </c>
      <c r="R72" s="6">
        <f>IF(OR(Q72="",P72=""),"",TEXT(Q72-P72,"[h]:mm"))</f>
        <v/>
      </c>
      <c r="S72" s="6">
        <f>IF(B72="","",IF(Q72&lt;&gt;"",TEXT(Q72-B72,"[h]:mm"),IF(U72&lt;&gt;"",TEXT(U72-B72,"[h]:mm"),"")))</f>
        <v/>
      </c>
      <c r="T72" s="6">
        <f>IF(OR(O72="",B72=""),"",TEXT(O72-B72,"[h]:mm"))</f>
        <v/>
      </c>
    </row>
    <row r="73">
      <c r="A73" t="inlineStr">
        <is>
          <t>ED WCC</t>
        </is>
      </c>
      <c r="B73" s="3" t="n">
        <v>45721.44166666667</v>
      </c>
      <c r="C73" t="inlineStr">
        <is>
          <t>Ahmad binti Osman</t>
        </is>
      </c>
      <c r="D73" t="inlineStr">
        <is>
          <t>Ahmad</t>
        </is>
      </c>
      <c r="E73" s="4" t="inlineStr">
        <is>
          <t>110613-07-0529</t>
        </is>
      </c>
      <c r="F73" t="inlineStr">
        <is>
          <t>MRN331873</t>
        </is>
      </c>
      <c r="G73" s="5" t="n">
        <v>14</v>
      </c>
      <c r="H73" t="inlineStr">
        <is>
          <t>Female</t>
        </is>
      </c>
      <c r="I73" t="inlineStr">
        <is>
          <t>rz</t>
        </is>
      </c>
      <c r="J73" t="inlineStr">
        <is>
          <t>wccrz04</t>
        </is>
      </c>
      <c r="K73" t="inlineStr">
        <is>
          <t>rz</t>
        </is>
      </c>
      <c r="L73" t="inlineStr">
        <is>
          <t>admitted</t>
        </is>
      </c>
      <c r="M73" t="inlineStr">
        <is>
          <t>Psychiatry</t>
        </is>
      </c>
      <c r="N73" s="4" t="n"/>
      <c r="P73" s="3" t="n">
        <v>45721.52013888889</v>
      </c>
      <c r="Q73" s="3" t="n">
        <v>45721.57361111111</v>
      </c>
      <c r="R73" s="6">
        <f>IF(OR(Q73="",P73=""),"",TEXT(Q73-P73,"[h]:mm"))</f>
        <v/>
      </c>
      <c r="S73" s="6">
        <f>IF(B73="","",IF(Q73&lt;&gt;"",TEXT(Q73-B73,"[h]:mm"),IF(U73&lt;&gt;"",TEXT(U73-B73,"[h]:mm"),"")))</f>
        <v/>
      </c>
      <c r="T73" s="6">
        <f>IF(OR(O73="",B73=""),"",TEXT(O73-B73,"[h]:mm"))</f>
        <v/>
      </c>
    </row>
    <row r="74">
      <c r="A74" t="inlineStr">
        <is>
          <t>ED BU</t>
        </is>
      </c>
      <c r="B74" s="3" t="n">
        <v>45721.44305555556</v>
      </c>
      <c r="C74" t="inlineStr">
        <is>
          <t>Shahril binti Hassan</t>
        </is>
      </c>
      <c r="D74" t="inlineStr">
        <is>
          <t>Shahril</t>
        </is>
      </c>
      <c r="E74" s="4" t="inlineStr">
        <is>
          <t>991226-07-1796</t>
        </is>
      </c>
      <c r="F74" t="inlineStr">
        <is>
          <t>MRN917858</t>
        </is>
      </c>
      <c r="G74" s="5" t="n">
        <v>26</v>
      </c>
      <c r="H74" t="inlineStr">
        <is>
          <t>Female</t>
        </is>
      </c>
      <c r="I74" t="inlineStr">
        <is>
          <t>gz</t>
        </is>
      </c>
      <c r="J74" t="inlineStr">
        <is>
          <t>bugz-waiting</t>
        </is>
      </c>
      <c r="K74" t="inlineStr">
        <is>
          <t>gz</t>
        </is>
      </c>
      <c r="L74" t="inlineStr">
        <is>
          <t>ongoingtreatment</t>
        </is>
      </c>
      <c r="N74" s="4" t="inlineStr">
        <is>
          <t>6</t>
        </is>
      </c>
      <c r="R74" s="6">
        <f>IF(OR(Q74="",P74=""),"",TEXT(Q74-P74,"[h]:mm"))</f>
        <v/>
      </c>
      <c r="S74" s="6">
        <f>IF(B74="","",IF(Q74&lt;&gt;"",TEXT(Q74-B74,"[h]:mm"),IF(U74&lt;&gt;"",TEXT(U74-B74,"[h]:mm"),"")))</f>
        <v/>
      </c>
      <c r="T74" s="6">
        <f>IF(OR(O74="",B74=""),"",TEXT(O74-B74,"[h]:mm"))</f>
        <v/>
      </c>
    </row>
    <row r="75">
      <c r="A75" t="inlineStr">
        <is>
          <t>ED BU</t>
        </is>
      </c>
      <c r="B75" s="3" t="n">
        <v>45721.44305555556</v>
      </c>
      <c r="C75" t="inlineStr">
        <is>
          <t>Syed binti Ibrahim</t>
        </is>
      </c>
      <c r="D75" t="inlineStr">
        <is>
          <t>Syed</t>
        </is>
      </c>
      <c r="E75" s="4" t="inlineStr">
        <is>
          <t>451208-01-9567</t>
        </is>
      </c>
      <c r="F75" t="inlineStr">
        <is>
          <t>MRN968604</t>
        </is>
      </c>
      <c r="G75" s="5" t="n">
        <v>80</v>
      </c>
      <c r="H75" t="inlineStr">
        <is>
          <t>Female</t>
        </is>
      </c>
      <c r="I75" t="inlineStr">
        <is>
          <t>gz</t>
        </is>
      </c>
      <c r="J75" t="inlineStr">
        <is>
          <t>bugz-waiting</t>
        </is>
      </c>
      <c r="K75" t="inlineStr">
        <is>
          <t>gz</t>
        </is>
      </c>
      <c r="L75" t="inlineStr">
        <is>
          <t>ongoingtreatment</t>
        </is>
      </c>
      <c r="N75" s="4" t="inlineStr">
        <is>
          <t>49</t>
        </is>
      </c>
      <c r="R75" s="6">
        <f>IF(OR(Q75="",P75=""),"",TEXT(Q75-P75,"[h]:mm"))</f>
        <v/>
      </c>
      <c r="S75" s="6">
        <f>IF(B75="","",IF(Q75&lt;&gt;"",TEXT(Q75-B75,"[h]:mm"),IF(U75&lt;&gt;"",TEXT(U75-B75,"[h]:mm"),"")))</f>
        <v/>
      </c>
      <c r="T75" s="6">
        <f>IF(OR(O75="",B75=""),"",TEXT(O75-B75,"[h]:mm"))</f>
        <v/>
      </c>
    </row>
    <row r="76">
      <c r="A76" t="inlineStr">
        <is>
          <t>ED BU</t>
        </is>
      </c>
      <c r="B76" s="3" t="n">
        <v>45721.44444444445</v>
      </c>
      <c r="C76" t="inlineStr">
        <is>
          <t>Nizam binti Rahman</t>
        </is>
      </c>
      <c r="D76" t="inlineStr">
        <is>
          <t>Nizam</t>
        </is>
      </c>
      <c r="E76" s="4" t="inlineStr">
        <is>
          <t>770725-03-0067</t>
        </is>
      </c>
      <c r="F76" t="inlineStr">
        <is>
          <t>MRN726175</t>
        </is>
      </c>
      <c r="G76" s="5" t="n">
        <v>48</v>
      </c>
      <c r="H76" t="inlineStr">
        <is>
          <t>Female</t>
        </is>
      </c>
      <c r="I76" t="inlineStr">
        <is>
          <t>yz</t>
        </is>
      </c>
      <c r="J76" t="inlineStr">
        <is>
          <t>buyz04</t>
        </is>
      </c>
      <c r="K76" t="inlineStr">
        <is>
          <t>yz</t>
        </is>
      </c>
      <c r="L76" t="inlineStr">
        <is>
          <t>discharge</t>
        </is>
      </c>
      <c r="N76" s="4" t="n"/>
      <c r="R76" s="6">
        <f>IF(OR(Q76="",P76=""),"",TEXT(Q76-P76,"[h]:mm"))</f>
        <v/>
      </c>
      <c r="S76" s="6">
        <f>IF(B76="","",IF(Q76&lt;&gt;"",TEXT(Q76-B76,"[h]:mm"),IF(U76&lt;&gt;"",TEXT(U76-B76,"[h]:mm"),"")))</f>
        <v/>
      </c>
      <c r="T76" s="6">
        <f>IF(OR(O76="",B76=""),"",TEXT(O76-B76,"[h]:mm"))</f>
        <v/>
      </c>
      <c r="U76" s="3" t="n">
        <v>45721.51180555556</v>
      </c>
    </row>
    <row r="77">
      <c r="A77" t="inlineStr">
        <is>
          <t>ED BU</t>
        </is>
      </c>
      <c r="B77" s="3" t="n">
        <v>45721.44583333333</v>
      </c>
      <c r="C77" t="inlineStr">
        <is>
          <t>Zuraidah bin Omar</t>
        </is>
      </c>
      <c r="D77" t="inlineStr">
        <is>
          <t>Zuraidah</t>
        </is>
      </c>
      <c r="E77" s="4" t="inlineStr">
        <is>
          <t>791212-02-5863</t>
        </is>
      </c>
      <c r="F77" t="inlineStr">
        <is>
          <t>MRN394065</t>
        </is>
      </c>
      <c r="G77" s="5" t="n">
        <v>46</v>
      </c>
      <c r="H77" t="inlineStr">
        <is>
          <t>Male</t>
        </is>
      </c>
      <c r="I77" t="inlineStr">
        <is>
          <t>yz</t>
        </is>
      </c>
      <c r="J77" t="inlineStr">
        <is>
          <t>buyz07</t>
        </is>
      </c>
      <c r="K77" t="inlineStr">
        <is>
          <t>yz</t>
        </is>
      </c>
      <c r="L77" t="inlineStr">
        <is>
          <t>ongoingtreatment</t>
        </is>
      </c>
      <c r="N77" s="4" t="n"/>
      <c r="R77" s="6">
        <f>IF(OR(Q77="",P77=""),"",TEXT(Q77-P77,"[h]:mm"))</f>
        <v/>
      </c>
      <c r="S77" s="6">
        <f>IF(B77="","",IF(Q77&lt;&gt;"",TEXT(Q77-B77,"[h]:mm"),IF(U77&lt;&gt;"",TEXT(U77-B77,"[h]:mm"),"")))</f>
        <v/>
      </c>
      <c r="T77" s="6">
        <f>IF(OR(O77="",B77=""),"",TEXT(O77-B77,"[h]:mm"))</f>
        <v/>
      </c>
    </row>
    <row r="78">
      <c r="A78" t="inlineStr">
        <is>
          <t>ED WCC</t>
        </is>
      </c>
      <c r="B78" s="3" t="n">
        <v>45721.44722222222</v>
      </c>
      <c r="C78" t="inlineStr">
        <is>
          <t>Hafiz bin Yusof</t>
        </is>
      </c>
      <c r="D78" t="inlineStr">
        <is>
          <t>Hafiz</t>
        </is>
      </c>
      <c r="E78" s="4" t="inlineStr">
        <is>
          <t>080719-08-3602</t>
        </is>
      </c>
      <c r="F78" t="inlineStr">
        <is>
          <t>MRN168589</t>
        </is>
      </c>
      <c r="G78" s="5" t="n">
        <v>17</v>
      </c>
      <c r="H78" t="inlineStr">
        <is>
          <t>Male</t>
        </is>
      </c>
      <c r="I78" t="inlineStr">
        <is>
          <t>gz</t>
        </is>
      </c>
      <c r="J78" t="inlineStr">
        <is>
          <t>wccgz-waiting</t>
        </is>
      </c>
      <c r="K78" t="inlineStr">
        <is>
          <t>gz</t>
        </is>
      </c>
      <c r="L78" t="inlineStr">
        <is>
          <t>ongoingtreatment</t>
        </is>
      </c>
      <c r="N78" s="4" t="inlineStr">
        <is>
          <t>38</t>
        </is>
      </c>
      <c r="R78" s="6">
        <f>IF(OR(Q78="",P78=""),"",TEXT(Q78-P78,"[h]:mm"))</f>
        <v/>
      </c>
      <c r="S78" s="6">
        <f>IF(B78="","",IF(Q78&lt;&gt;"",TEXT(Q78-B78,"[h]:mm"),IF(U78&lt;&gt;"",TEXT(U78-B78,"[h]:mm"),"")))</f>
        <v/>
      </c>
      <c r="T78" s="6">
        <f>IF(OR(O78="",B78=""),"",TEXT(O78-B78,"[h]:mm"))</f>
        <v/>
      </c>
    </row>
    <row r="79">
      <c r="A79" t="inlineStr">
        <is>
          <t>ED WCC</t>
        </is>
      </c>
      <c r="B79" s="3" t="n">
        <v>45721.44791666666</v>
      </c>
      <c r="C79" t="inlineStr">
        <is>
          <t>Suraya bin Hassan</t>
        </is>
      </c>
      <c r="D79" t="inlineStr">
        <is>
          <t>Suraya</t>
        </is>
      </c>
      <c r="E79" s="4" t="inlineStr">
        <is>
          <t>061117-14-2926</t>
        </is>
      </c>
      <c r="F79" t="inlineStr">
        <is>
          <t>MRN746446</t>
        </is>
      </c>
      <c r="G79" s="5" t="n">
        <v>19</v>
      </c>
      <c r="H79" t="inlineStr">
        <is>
          <t>Male</t>
        </is>
      </c>
      <c r="I79" t="inlineStr">
        <is>
          <t>gz</t>
        </is>
      </c>
      <c r="J79" t="inlineStr">
        <is>
          <t>wccgz-waiting</t>
        </is>
      </c>
      <c r="K79" t="inlineStr">
        <is>
          <t>gz</t>
        </is>
      </c>
      <c r="L79" t="inlineStr">
        <is>
          <t>ongoingtreatment</t>
        </is>
      </c>
      <c r="N79" s="4" t="inlineStr">
        <is>
          <t>29</t>
        </is>
      </c>
      <c r="R79" s="6">
        <f>IF(OR(Q79="",P79=""),"",TEXT(Q79-P79,"[h]:mm"))</f>
        <v/>
      </c>
      <c r="S79" s="6">
        <f>IF(B79="","",IF(Q79&lt;&gt;"",TEXT(Q79-B79,"[h]:mm"),IF(U79&lt;&gt;"",TEXT(U79-B79,"[h]:mm"),"")))</f>
        <v/>
      </c>
      <c r="T79" s="6">
        <f>IF(OR(O79="",B79=""),"",TEXT(O79-B79,"[h]:mm"))</f>
        <v/>
      </c>
    </row>
    <row r="80">
      <c r="A80" t="inlineStr">
        <is>
          <t>ED WCC</t>
        </is>
      </c>
      <c r="B80" s="3" t="n">
        <v>45721.44861111111</v>
      </c>
      <c r="C80" t="inlineStr">
        <is>
          <t>Nurul binti Salleh</t>
        </is>
      </c>
      <c r="D80" t="inlineStr">
        <is>
          <t>Nurul</t>
        </is>
      </c>
      <c r="E80" s="4" t="inlineStr">
        <is>
          <t>160809-04-3876</t>
        </is>
      </c>
      <c r="F80" t="inlineStr">
        <is>
          <t>MRN179199</t>
        </is>
      </c>
      <c r="G80" s="5" t="n">
        <v>9</v>
      </c>
      <c r="H80" t="inlineStr">
        <is>
          <t>Female</t>
        </is>
      </c>
      <c r="I80" t="inlineStr">
        <is>
          <t>gz</t>
        </is>
      </c>
      <c r="J80" t="inlineStr">
        <is>
          <t>wccgz-waiting</t>
        </is>
      </c>
      <c r="K80" t="inlineStr">
        <is>
          <t>gz</t>
        </is>
      </c>
      <c r="L80" t="inlineStr">
        <is>
          <t>ongoingtreatment</t>
        </is>
      </c>
      <c r="N80" s="4" t="inlineStr">
        <is>
          <t>25</t>
        </is>
      </c>
      <c r="R80" s="6">
        <f>IF(OR(Q80="",P80=""),"",TEXT(Q80-P80,"[h]:mm"))</f>
        <v/>
      </c>
      <c r="S80" s="6">
        <f>IF(B80="","",IF(Q80&lt;&gt;"",TEXT(Q80-B80,"[h]:mm"),IF(U80&lt;&gt;"",TEXT(U80-B80,"[h]:mm"),"")))</f>
        <v/>
      </c>
      <c r="T80" s="6">
        <f>IF(OR(O80="",B80=""),"",TEXT(O80-B80,"[h]:mm"))</f>
        <v/>
      </c>
    </row>
    <row r="81">
      <c r="A81" t="inlineStr">
        <is>
          <t>ED BU</t>
        </is>
      </c>
      <c r="B81" s="3" t="n">
        <v>45721.45138888889</v>
      </c>
      <c r="C81" t="inlineStr">
        <is>
          <t>Anis bin Mohamed</t>
        </is>
      </c>
      <c r="D81" t="inlineStr">
        <is>
          <t>Anis</t>
        </is>
      </c>
      <c r="E81" s="4" t="inlineStr">
        <is>
          <t>580801-05-6208</t>
        </is>
      </c>
      <c r="F81" t="inlineStr">
        <is>
          <t>MRN779699</t>
        </is>
      </c>
      <c r="G81" s="5" t="n">
        <v>67</v>
      </c>
      <c r="H81" t="inlineStr">
        <is>
          <t>Male</t>
        </is>
      </c>
      <c r="I81" t="inlineStr">
        <is>
          <t>yz</t>
        </is>
      </c>
      <c r="J81" t="inlineStr">
        <is>
          <t>buyz30crisis</t>
        </is>
      </c>
      <c r="K81" t="inlineStr">
        <is>
          <t>yz</t>
        </is>
      </c>
      <c r="L81" t="inlineStr">
        <is>
          <t>ongoingtreatment</t>
        </is>
      </c>
      <c r="N81" s="4" t="n"/>
      <c r="R81" s="6">
        <f>IF(OR(Q81="",P81=""),"",TEXT(Q81-P81,"[h]:mm"))</f>
        <v/>
      </c>
      <c r="S81" s="6">
        <f>IF(B81="","",IF(Q81&lt;&gt;"",TEXT(Q81-B81,"[h]:mm"),IF(U81&lt;&gt;"",TEXT(U81-B81,"[h]:mm"),"")))</f>
        <v/>
      </c>
      <c r="T81" s="6">
        <f>IF(OR(O81="",B81=""),"",TEXT(O81-B81,"[h]:mm"))</f>
        <v/>
      </c>
    </row>
    <row r="82">
      <c r="A82" t="inlineStr">
        <is>
          <t>ED BU</t>
        </is>
      </c>
      <c r="B82" s="3" t="n">
        <v>45721.45138888889</v>
      </c>
      <c r="C82" t="inlineStr">
        <is>
          <t>Aisyah bin Hassan</t>
        </is>
      </c>
      <c r="D82" t="inlineStr">
        <is>
          <t>Aisyah</t>
        </is>
      </c>
      <c r="E82" s="4" t="inlineStr">
        <is>
          <t>770419-13-3282</t>
        </is>
      </c>
      <c r="F82" t="inlineStr">
        <is>
          <t>MRN575178</t>
        </is>
      </c>
      <c r="G82" s="5" t="n">
        <v>48</v>
      </c>
      <c r="H82" t="inlineStr">
        <is>
          <t>Male</t>
        </is>
      </c>
      <c r="I82" t="inlineStr">
        <is>
          <t>gz</t>
        </is>
      </c>
      <c r="J82" t="inlineStr">
        <is>
          <t>bugz-waiting</t>
        </is>
      </c>
      <c r="K82" t="inlineStr">
        <is>
          <t>gz</t>
        </is>
      </c>
      <c r="L82" t="inlineStr">
        <is>
          <t>ongoingtreatment</t>
        </is>
      </c>
      <c r="N82" s="4" t="inlineStr">
        <is>
          <t>47</t>
        </is>
      </c>
      <c r="R82" s="6">
        <f>IF(OR(Q82="",P82=""),"",TEXT(Q82-P82,"[h]:mm"))</f>
        <v/>
      </c>
      <c r="S82" s="6">
        <f>IF(B82="","",IF(Q82&lt;&gt;"",TEXT(Q82-B82,"[h]:mm"),IF(U82&lt;&gt;"",TEXT(U82-B82,"[h]:mm"),"")))</f>
        <v/>
      </c>
      <c r="T82" s="6">
        <f>IF(OR(O82="",B82=""),"",TEXT(O82-B82,"[h]:mm"))</f>
        <v/>
      </c>
    </row>
    <row r="83">
      <c r="A83" t="inlineStr">
        <is>
          <t>ED WCC</t>
        </is>
      </c>
      <c r="B83" s="3" t="n">
        <v>45721.45347222222</v>
      </c>
      <c r="C83" t="inlineStr">
        <is>
          <t>Nizam binti Yusof</t>
        </is>
      </c>
      <c r="D83" t="inlineStr">
        <is>
          <t>Nizam</t>
        </is>
      </c>
      <c r="E83" s="4" t="inlineStr">
        <is>
          <t>230703-05-0680</t>
        </is>
      </c>
      <c r="F83" t="inlineStr">
        <is>
          <t>MRN857497</t>
        </is>
      </c>
      <c r="G83" s="5" t="n">
        <v>2</v>
      </c>
      <c r="H83" t="inlineStr">
        <is>
          <t>Female</t>
        </is>
      </c>
      <c r="I83" t="inlineStr">
        <is>
          <t>gz</t>
        </is>
      </c>
      <c r="J83" t="inlineStr">
        <is>
          <t>wccgz-waiting</t>
        </is>
      </c>
      <c r="K83" t="inlineStr">
        <is>
          <t>gz</t>
        </is>
      </c>
      <c r="L83" t="inlineStr">
        <is>
          <t>ongoingtreatment</t>
        </is>
      </c>
      <c r="N83" s="4" t="inlineStr">
        <is>
          <t>5</t>
        </is>
      </c>
      <c r="R83" s="6">
        <f>IF(OR(Q83="",P83=""),"",TEXT(Q83-P83,"[h]:mm"))</f>
        <v/>
      </c>
      <c r="S83" s="6">
        <f>IF(B83="","",IF(Q83&lt;&gt;"",TEXT(Q83-B83,"[h]:mm"),IF(U83&lt;&gt;"",TEXT(U83-B83,"[h]:mm"),"")))</f>
        <v/>
      </c>
      <c r="T83" s="6">
        <f>IF(OR(O83="",B83=""),"",TEXT(O83-B83,"[h]:mm"))</f>
        <v/>
      </c>
    </row>
    <row r="84">
      <c r="A84" t="inlineStr">
        <is>
          <t>ED WCC</t>
        </is>
      </c>
      <c r="B84" s="3" t="n">
        <v>45721.45555555556</v>
      </c>
      <c r="C84" t="inlineStr">
        <is>
          <t>Faizal binti Ibrahim</t>
        </is>
      </c>
      <c r="D84" t="inlineStr">
        <is>
          <t>Faizal</t>
        </is>
      </c>
      <c r="E84" s="4" t="inlineStr">
        <is>
          <t>120306-03-4639</t>
        </is>
      </c>
      <c r="F84" t="inlineStr">
        <is>
          <t>MRN101062</t>
        </is>
      </c>
      <c r="G84" s="5" t="n">
        <v>13</v>
      </c>
      <c r="H84" t="inlineStr">
        <is>
          <t>Female</t>
        </is>
      </c>
      <c r="I84" t="inlineStr">
        <is>
          <t>gz</t>
        </is>
      </c>
      <c r="J84" t="inlineStr">
        <is>
          <t>wccgz-waiting</t>
        </is>
      </c>
      <c r="K84" t="inlineStr">
        <is>
          <t>gz</t>
        </is>
      </c>
      <c r="L84" t="inlineStr">
        <is>
          <t>ongoingtreatment</t>
        </is>
      </c>
      <c r="N84" s="4" t="inlineStr">
        <is>
          <t>40</t>
        </is>
      </c>
      <c r="R84" s="6">
        <f>IF(OR(Q84="",P84=""),"",TEXT(Q84-P84,"[h]:mm"))</f>
        <v/>
      </c>
      <c r="S84" s="6">
        <f>IF(B84="","",IF(Q84&lt;&gt;"",TEXT(Q84-B84,"[h]:mm"),IF(U84&lt;&gt;"",TEXT(U84-B84,"[h]:mm"),"")))</f>
        <v/>
      </c>
      <c r="T84" s="6">
        <f>IF(OR(O84="",B84=""),"",TEXT(O84-B84,"[h]:mm"))</f>
        <v/>
      </c>
    </row>
    <row r="85">
      <c r="A85" t="inlineStr">
        <is>
          <t>ED BU</t>
        </is>
      </c>
      <c r="B85" s="3" t="n">
        <v>45721.45694444444</v>
      </c>
      <c r="C85" t="inlineStr">
        <is>
          <t>Zulkifli bin Zakaria</t>
        </is>
      </c>
      <c r="D85" t="inlineStr">
        <is>
          <t>Zulkifli</t>
        </is>
      </c>
      <c r="E85" s="4" t="inlineStr">
        <is>
          <t>890121-06-2952</t>
        </is>
      </c>
      <c r="F85" t="inlineStr">
        <is>
          <t>MRN262821</t>
        </is>
      </c>
      <c r="G85" s="5" t="n">
        <v>36</v>
      </c>
      <c r="H85" t="inlineStr">
        <is>
          <t>Male</t>
        </is>
      </c>
      <c r="I85" t="inlineStr">
        <is>
          <t>gz</t>
        </is>
      </c>
      <c r="J85" t="inlineStr">
        <is>
          <t>bugz-waiting</t>
        </is>
      </c>
      <c r="K85" t="inlineStr">
        <is>
          <t>gz</t>
        </is>
      </c>
      <c r="L85" t="inlineStr">
        <is>
          <t>ongoingtreatment</t>
        </is>
      </c>
      <c r="N85" s="4" t="inlineStr">
        <is>
          <t>30</t>
        </is>
      </c>
      <c r="R85" s="6">
        <f>IF(OR(Q85="",P85=""),"",TEXT(Q85-P85,"[h]:mm"))</f>
        <v/>
      </c>
      <c r="S85" s="6">
        <f>IF(B85="","",IF(Q85&lt;&gt;"",TEXT(Q85-B85,"[h]:mm"),IF(U85&lt;&gt;"",TEXT(U85-B85,"[h]:mm"),"")))</f>
        <v/>
      </c>
      <c r="T85" s="6">
        <f>IF(OR(O85="",B85=""),"",TEXT(O85-B85,"[h]:mm"))</f>
        <v/>
      </c>
    </row>
    <row r="86">
      <c r="A86" t="inlineStr">
        <is>
          <t>ED BU</t>
        </is>
      </c>
      <c r="B86" s="3" t="n">
        <v>45721.45833333334</v>
      </c>
      <c r="C86" t="inlineStr">
        <is>
          <t>Suraya binti Mohamed</t>
        </is>
      </c>
      <c r="D86" t="inlineStr">
        <is>
          <t>Suraya</t>
        </is>
      </c>
      <c r="E86" s="4" t="inlineStr">
        <is>
          <t>010526-08-5060</t>
        </is>
      </c>
      <c r="F86" t="inlineStr">
        <is>
          <t>MRN149758</t>
        </is>
      </c>
      <c r="G86" s="5" t="n">
        <v>24</v>
      </c>
      <c r="H86" t="inlineStr">
        <is>
          <t>Female</t>
        </is>
      </c>
      <c r="I86" t="inlineStr">
        <is>
          <t>gz</t>
        </is>
      </c>
      <c r="J86" t="inlineStr">
        <is>
          <t>bugz-waiting</t>
        </is>
      </c>
      <c r="K86" t="inlineStr">
        <is>
          <t>gz</t>
        </is>
      </c>
      <c r="L86" t="inlineStr">
        <is>
          <t>ongoingtreatment</t>
        </is>
      </c>
      <c r="N86" s="4" t="inlineStr">
        <is>
          <t>11</t>
        </is>
      </c>
      <c r="R86" s="6">
        <f>IF(OR(Q86="",P86=""),"",TEXT(Q86-P86,"[h]:mm"))</f>
        <v/>
      </c>
      <c r="S86" s="6">
        <f>IF(B86="","",IF(Q86&lt;&gt;"",TEXT(Q86-B86,"[h]:mm"),IF(U86&lt;&gt;"",TEXT(U86-B86,"[h]:mm"),"")))</f>
        <v/>
      </c>
      <c r="T86" s="6">
        <f>IF(OR(O86="",B86=""),"",TEXT(O86-B86,"[h]:mm"))</f>
        <v/>
      </c>
    </row>
    <row r="87">
      <c r="A87" t="inlineStr">
        <is>
          <t>ED BU</t>
        </is>
      </c>
      <c r="B87" s="3" t="n">
        <v>45721.45902777778</v>
      </c>
      <c r="C87" t="inlineStr">
        <is>
          <t>Izzuddin bin Mohamed</t>
        </is>
      </c>
      <c r="D87" t="inlineStr">
        <is>
          <t>Izzuddin</t>
        </is>
      </c>
      <c r="E87" s="4" t="inlineStr">
        <is>
          <t>961208-06-5845</t>
        </is>
      </c>
      <c r="F87" t="inlineStr">
        <is>
          <t>MRN795693</t>
        </is>
      </c>
      <c r="G87" s="5" t="n">
        <v>29</v>
      </c>
      <c r="H87" t="inlineStr">
        <is>
          <t>Male</t>
        </is>
      </c>
      <c r="I87" t="inlineStr">
        <is>
          <t>gz</t>
        </is>
      </c>
      <c r="J87" t="inlineStr">
        <is>
          <t>bugz-waiting</t>
        </is>
      </c>
      <c r="K87" t="inlineStr">
        <is>
          <t>gz</t>
        </is>
      </c>
      <c r="L87" t="inlineStr">
        <is>
          <t>ongoingtreatment</t>
        </is>
      </c>
      <c r="N87" s="4" t="inlineStr">
        <is>
          <t>29</t>
        </is>
      </c>
      <c r="R87" s="6">
        <f>IF(OR(Q87="",P87=""),"",TEXT(Q87-P87,"[h]:mm"))</f>
        <v/>
      </c>
      <c r="S87" s="6">
        <f>IF(B87="","",IF(Q87&lt;&gt;"",TEXT(Q87-B87,"[h]:mm"),IF(U87&lt;&gt;"",TEXT(U87-B87,"[h]:mm"),"")))</f>
        <v/>
      </c>
      <c r="T87" s="6">
        <f>IF(OR(O87="",B87=""),"",TEXT(O87-B87,"[h]:mm"))</f>
        <v/>
      </c>
    </row>
    <row r="88">
      <c r="A88" t="inlineStr">
        <is>
          <t>ED BU</t>
        </is>
      </c>
      <c r="B88" s="3" t="n">
        <v>45721.45972222222</v>
      </c>
      <c r="C88" t="inlineStr">
        <is>
          <t>Nurul binti Hamid</t>
        </is>
      </c>
      <c r="D88" t="inlineStr">
        <is>
          <t>Nurul</t>
        </is>
      </c>
      <c r="E88" s="4" t="inlineStr">
        <is>
          <t>740119-04-4060</t>
        </is>
      </c>
      <c r="F88" t="inlineStr">
        <is>
          <t>MRN129014</t>
        </is>
      </c>
      <c r="G88" s="5" t="n">
        <v>51</v>
      </c>
      <c r="H88" t="inlineStr">
        <is>
          <t>Female</t>
        </is>
      </c>
      <c r="I88" t="inlineStr">
        <is>
          <t>gz</t>
        </is>
      </c>
      <c r="J88" t="inlineStr">
        <is>
          <t>bugz02</t>
        </is>
      </c>
      <c r="K88" t="inlineStr">
        <is>
          <t>gz</t>
        </is>
      </c>
      <c r="L88" t="inlineStr">
        <is>
          <t>ongoingtreatment</t>
        </is>
      </c>
      <c r="N88" s="4" t="inlineStr">
        <is>
          <t>20</t>
        </is>
      </c>
      <c r="O88" s="3" t="n">
        <v>45721.52013888889</v>
      </c>
      <c r="R88" s="6">
        <f>IF(OR(Q88="",P88=""),"",TEXT(Q88-P88,"[h]:mm"))</f>
        <v/>
      </c>
      <c r="S88" s="6">
        <f>IF(B88="","",IF(Q88&lt;&gt;"",TEXT(Q88-B88,"[h]:mm"),IF(U88&lt;&gt;"",TEXT(U88-B88,"[h]:mm"),"")))</f>
        <v/>
      </c>
      <c r="T88" s="6">
        <f>IF(OR(O88="",B88=""),"",TEXT(O88-B88,"[h]:mm"))</f>
        <v/>
      </c>
    </row>
    <row r="89">
      <c r="A89" t="inlineStr">
        <is>
          <t>ED BU</t>
        </is>
      </c>
      <c r="B89" s="3" t="n">
        <v>45721.46111111111</v>
      </c>
      <c r="C89" t="inlineStr">
        <is>
          <t>Mohamed bin Zakaria</t>
        </is>
      </c>
      <c r="D89" t="inlineStr">
        <is>
          <t>Mohamed</t>
        </is>
      </c>
      <c r="E89" s="4" t="inlineStr">
        <is>
          <t>080514-07-3328</t>
        </is>
      </c>
      <c r="F89" t="inlineStr">
        <is>
          <t>MRN161585</t>
        </is>
      </c>
      <c r="G89" s="5" t="n">
        <v>17</v>
      </c>
      <c r="H89" t="inlineStr">
        <is>
          <t>Male</t>
        </is>
      </c>
      <c r="I89" t="inlineStr">
        <is>
          <t>gz</t>
        </is>
      </c>
      <c r="J89" t="inlineStr">
        <is>
          <t>bugz-waiting</t>
        </is>
      </c>
      <c r="K89" t="inlineStr">
        <is>
          <t>gz</t>
        </is>
      </c>
      <c r="L89" t="inlineStr">
        <is>
          <t>ongoingtreatment</t>
        </is>
      </c>
      <c r="N89" s="4" t="inlineStr">
        <is>
          <t>41</t>
        </is>
      </c>
      <c r="R89" s="6">
        <f>IF(OR(Q89="",P89=""),"",TEXT(Q89-P89,"[h]:mm"))</f>
        <v/>
      </c>
      <c r="S89" s="6">
        <f>IF(B89="","",IF(Q89&lt;&gt;"",TEXT(Q89-B89,"[h]:mm"),IF(U89&lt;&gt;"",TEXT(U89-B89,"[h]:mm"),"")))</f>
        <v/>
      </c>
      <c r="T89" s="6">
        <f>IF(OR(O89="",B89=""),"",TEXT(O89-B89,"[h]:mm"))</f>
        <v/>
      </c>
    </row>
    <row r="90">
      <c r="A90" t="inlineStr">
        <is>
          <t>ED BU</t>
        </is>
      </c>
      <c r="B90" s="3" t="n">
        <v>45721.46111111111</v>
      </c>
      <c r="C90" t="inlineStr">
        <is>
          <t>Nurul bin Abdullah</t>
        </is>
      </c>
      <c r="D90" t="inlineStr">
        <is>
          <t>Nurul</t>
        </is>
      </c>
      <c r="E90" s="4" t="inlineStr">
        <is>
          <t>910519-01-7785</t>
        </is>
      </c>
      <c r="F90" t="inlineStr">
        <is>
          <t>MRN241936</t>
        </is>
      </c>
      <c r="G90" s="5" t="n">
        <v>34</v>
      </c>
      <c r="H90" t="inlineStr">
        <is>
          <t>Male</t>
        </is>
      </c>
      <c r="I90" t="inlineStr">
        <is>
          <t>gz</t>
        </is>
      </c>
      <c r="J90" t="inlineStr">
        <is>
          <t>bugz-waiting</t>
        </is>
      </c>
      <c r="K90" t="inlineStr">
        <is>
          <t>gz</t>
        </is>
      </c>
      <c r="L90" t="inlineStr">
        <is>
          <t>ongoingtreatment</t>
        </is>
      </c>
      <c r="N90" s="4" t="inlineStr">
        <is>
          <t>46</t>
        </is>
      </c>
      <c r="R90" s="6">
        <f>IF(OR(Q90="",P90=""),"",TEXT(Q90-P90,"[h]:mm"))</f>
        <v/>
      </c>
      <c r="S90" s="6">
        <f>IF(B90="","",IF(Q90&lt;&gt;"",TEXT(Q90-B90,"[h]:mm"),IF(U90&lt;&gt;"",TEXT(U90-B90,"[h]:mm"),"")))</f>
        <v/>
      </c>
      <c r="T90" s="6">
        <f>IF(OR(O90="",B90=""),"",TEXT(O90-B90,"[h]:mm"))</f>
        <v/>
      </c>
    </row>
    <row r="91">
      <c r="A91" t="inlineStr">
        <is>
          <t>ED BU</t>
        </is>
      </c>
      <c r="B91" s="3" t="n">
        <v>45721.4625</v>
      </c>
      <c r="C91" t="inlineStr">
        <is>
          <t>Norizan binti Yusof</t>
        </is>
      </c>
      <c r="D91" t="inlineStr">
        <is>
          <t>Norizan</t>
        </is>
      </c>
      <c r="E91" s="4" t="inlineStr">
        <is>
          <t>041118-09-9347</t>
        </is>
      </c>
      <c r="F91" t="inlineStr">
        <is>
          <t>MRN434150</t>
        </is>
      </c>
      <c r="G91" s="5" t="n">
        <v>21</v>
      </c>
      <c r="H91" t="inlineStr">
        <is>
          <t>Female</t>
        </is>
      </c>
      <c r="I91" t="inlineStr">
        <is>
          <t>gz</t>
        </is>
      </c>
      <c r="J91" t="inlineStr">
        <is>
          <t>bugz-waiting</t>
        </is>
      </c>
      <c r="K91" t="inlineStr">
        <is>
          <t>gz</t>
        </is>
      </c>
      <c r="L91" t="inlineStr">
        <is>
          <t>ongoingtreatment</t>
        </is>
      </c>
      <c r="N91" s="4" t="inlineStr">
        <is>
          <t>18</t>
        </is>
      </c>
      <c r="R91" s="6">
        <f>IF(OR(Q91="",P91=""),"",TEXT(Q91-P91,"[h]:mm"))</f>
        <v/>
      </c>
      <c r="S91" s="6">
        <f>IF(B91="","",IF(Q91&lt;&gt;"",TEXT(Q91-B91,"[h]:mm"),IF(U91&lt;&gt;"",TEXT(U91-B91,"[h]:mm"),"")))</f>
        <v/>
      </c>
      <c r="T91" s="6">
        <f>IF(OR(O91="",B91=""),"",TEXT(O91-B91,"[h]:mm"))</f>
        <v/>
      </c>
    </row>
    <row r="92">
      <c r="A92" t="inlineStr">
        <is>
          <t>ED WCC</t>
        </is>
      </c>
      <c r="B92" s="3" t="n">
        <v>45721.46319444444</v>
      </c>
      <c r="C92" t="inlineStr">
        <is>
          <t>Hasnah bin Hassan</t>
        </is>
      </c>
      <c r="D92" t="inlineStr">
        <is>
          <t>Hasnah</t>
        </is>
      </c>
      <c r="E92" s="4" t="inlineStr">
        <is>
          <t>190415-12-7725</t>
        </is>
      </c>
      <c r="F92" t="inlineStr">
        <is>
          <t>MRN206167</t>
        </is>
      </c>
      <c r="G92" s="5" t="n">
        <v>6</v>
      </c>
      <c r="H92" t="inlineStr">
        <is>
          <t>Male</t>
        </is>
      </c>
      <c r="I92" t="inlineStr">
        <is>
          <t>gz</t>
        </is>
      </c>
      <c r="J92" t="inlineStr">
        <is>
          <t>wccgz-waiting</t>
        </is>
      </c>
      <c r="K92" t="inlineStr">
        <is>
          <t>gz</t>
        </is>
      </c>
      <c r="L92" t="inlineStr">
        <is>
          <t>ongoingtreatment</t>
        </is>
      </c>
      <c r="N92" s="4" t="inlineStr">
        <is>
          <t>43</t>
        </is>
      </c>
      <c r="R92" s="6">
        <f>IF(OR(Q92="",P92=""),"",TEXT(Q92-P92,"[h]:mm"))</f>
        <v/>
      </c>
      <c r="S92" s="6">
        <f>IF(B92="","",IF(Q92&lt;&gt;"",TEXT(Q92-B92,"[h]:mm"),IF(U92&lt;&gt;"",TEXT(U92-B92,"[h]:mm"),"")))</f>
        <v/>
      </c>
      <c r="T92" s="6">
        <f>IF(OR(O92="",B92=""),"",TEXT(O92-B92,"[h]:mm"))</f>
        <v/>
      </c>
    </row>
    <row r="93">
      <c r="A93" t="inlineStr">
        <is>
          <t>ED BU</t>
        </is>
      </c>
      <c r="B93" s="3" t="n">
        <v>45721.46388888889</v>
      </c>
      <c r="C93" t="inlineStr">
        <is>
          <t>Helmi bin Yusof</t>
        </is>
      </c>
      <c r="D93" t="inlineStr">
        <is>
          <t>Helmi</t>
        </is>
      </c>
      <c r="E93" s="4" t="inlineStr">
        <is>
          <t>071006-04-9310</t>
        </is>
      </c>
      <c r="F93" t="inlineStr">
        <is>
          <t>MRN546048</t>
        </is>
      </c>
      <c r="G93" s="5" t="n">
        <v>18</v>
      </c>
      <c r="H93" t="inlineStr">
        <is>
          <t>Male</t>
        </is>
      </c>
      <c r="I93" t="inlineStr">
        <is>
          <t>gz</t>
        </is>
      </c>
      <c r="J93" t="inlineStr">
        <is>
          <t>bugz-waiting</t>
        </is>
      </c>
      <c r="K93" t="inlineStr">
        <is>
          <t>gz</t>
        </is>
      </c>
      <c r="L93" t="inlineStr">
        <is>
          <t>ongoingtreatment</t>
        </is>
      </c>
      <c r="N93" s="4" t="inlineStr">
        <is>
          <t>7</t>
        </is>
      </c>
      <c r="R93" s="6">
        <f>IF(OR(Q93="",P93=""),"",TEXT(Q93-P93,"[h]:mm"))</f>
        <v/>
      </c>
      <c r="S93" s="6">
        <f>IF(B93="","",IF(Q93&lt;&gt;"",TEXT(Q93-B93,"[h]:mm"),IF(U93&lt;&gt;"",TEXT(U93-B93,"[h]:mm"),"")))</f>
        <v/>
      </c>
      <c r="T93" s="6">
        <f>IF(OR(O93="",B93=""),"",TEXT(O93-B93,"[h]:mm"))</f>
        <v/>
      </c>
    </row>
    <row r="94">
      <c r="A94" t="inlineStr">
        <is>
          <t>PAC WCC</t>
        </is>
      </c>
      <c r="B94" s="3" t="n">
        <v>45721.46597222222</v>
      </c>
      <c r="C94" t="inlineStr">
        <is>
          <t>Nurul binti Abdullah</t>
        </is>
      </c>
      <c r="D94" t="inlineStr">
        <is>
          <t>Nurul</t>
        </is>
      </c>
      <c r="E94" s="4" t="inlineStr">
        <is>
          <t>990813-11-2570</t>
        </is>
      </c>
      <c r="F94" t="inlineStr">
        <is>
          <t>MRN503312</t>
        </is>
      </c>
      <c r="G94" s="5" t="n">
        <v>26</v>
      </c>
      <c r="H94" t="inlineStr">
        <is>
          <t>Female</t>
        </is>
      </c>
      <c r="I94" t="inlineStr">
        <is>
          <t>pac</t>
        </is>
      </c>
      <c r="J94" t="inlineStr">
        <is>
          <t>wccpac12crisis</t>
        </is>
      </c>
      <c r="K94" t="inlineStr">
        <is>
          <t>pac</t>
        </is>
      </c>
      <c r="L94" t="inlineStr">
        <is>
          <t>ongoingtreatment</t>
        </is>
      </c>
      <c r="N94" s="4" t="n"/>
      <c r="R94" s="6">
        <f>IF(OR(Q94="",P94=""),"",TEXT(Q94-P94,"[h]:mm"))</f>
        <v/>
      </c>
      <c r="S94" s="6">
        <f>IF(B94="","",IF(Q94&lt;&gt;"",TEXT(Q94-B94,"[h]:mm"),IF(U94&lt;&gt;"",TEXT(U94-B94,"[h]:mm"),"")))</f>
        <v/>
      </c>
      <c r="T94" s="6">
        <f>IF(OR(O94="",B94=""),"",TEXT(O94-B94,"[h]:mm"))</f>
        <v/>
      </c>
    </row>
    <row r="95">
      <c r="A95" t="inlineStr">
        <is>
          <t>ED BU</t>
        </is>
      </c>
      <c r="B95" s="3" t="n">
        <v>45721.46875</v>
      </c>
      <c r="C95" t="inlineStr">
        <is>
          <t>Hafizah bin Zakaria</t>
        </is>
      </c>
      <c r="D95" t="inlineStr">
        <is>
          <t>Hafizah</t>
        </is>
      </c>
      <c r="E95" s="4" t="inlineStr">
        <is>
          <t>741225-08-4380</t>
        </is>
      </c>
      <c r="F95" t="inlineStr">
        <is>
          <t>MRN346554</t>
        </is>
      </c>
      <c r="G95" s="5" t="n">
        <v>51</v>
      </c>
      <c r="H95" t="inlineStr">
        <is>
          <t>Male</t>
        </is>
      </c>
      <c r="I95" t="inlineStr">
        <is>
          <t>gz</t>
        </is>
      </c>
      <c r="J95" t="inlineStr">
        <is>
          <t>bugz-waiting</t>
        </is>
      </c>
      <c r="K95" t="inlineStr">
        <is>
          <t>gz</t>
        </is>
      </c>
      <c r="L95" t="inlineStr">
        <is>
          <t>ongoingtreatment</t>
        </is>
      </c>
      <c r="N95" s="4" t="inlineStr">
        <is>
          <t>43</t>
        </is>
      </c>
      <c r="R95" s="6">
        <f>IF(OR(Q95="",P95=""),"",TEXT(Q95-P95,"[h]:mm"))</f>
        <v/>
      </c>
      <c r="S95" s="6">
        <f>IF(B95="","",IF(Q95&lt;&gt;"",TEXT(Q95-B95,"[h]:mm"),IF(U95&lt;&gt;"",TEXT(U95-B95,"[h]:mm"),"")))</f>
        <v/>
      </c>
      <c r="T95" s="6">
        <f>IF(OR(O95="",B95=""),"",TEXT(O95-B95,"[h]:mm"))</f>
        <v/>
      </c>
    </row>
    <row r="96">
      <c r="A96" t="inlineStr">
        <is>
          <t>ED WCC</t>
        </is>
      </c>
      <c r="B96" s="3" t="n">
        <v>45721.47430555556</v>
      </c>
      <c r="C96" t="inlineStr">
        <is>
          <t>Hafiz binti Rahman</t>
        </is>
      </c>
      <c r="D96" t="inlineStr">
        <is>
          <t>Hafiz</t>
        </is>
      </c>
      <c r="E96" s="4" t="inlineStr">
        <is>
          <t>120120-06-4544</t>
        </is>
      </c>
      <c r="F96" t="inlineStr">
        <is>
          <t>MRN768609</t>
        </is>
      </c>
      <c r="G96" s="5" t="n">
        <v>13</v>
      </c>
      <c r="H96" t="inlineStr">
        <is>
          <t>Female</t>
        </is>
      </c>
      <c r="I96" t="inlineStr">
        <is>
          <t>gz</t>
        </is>
      </c>
      <c r="J96" t="inlineStr">
        <is>
          <t>wccgz-waiting</t>
        </is>
      </c>
      <c r="K96" t="inlineStr">
        <is>
          <t>gz</t>
        </is>
      </c>
      <c r="L96" t="inlineStr">
        <is>
          <t>ongoingtreatment</t>
        </is>
      </c>
      <c r="N96" s="4" t="inlineStr">
        <is>
          <t>23</t>
        </is>
      </c>
      <c r="R96" s="6">
        <f>IF(OR(Q96="",P96=""),"",TEXT(Q96-P96,"[h]:mm"))</f>
        <v/>
      </c>
      <c r="S96" s="6">
        <f>IF(B96="","",IF(Q96&lt;&gt;"",TEXT(Q96-B96,"[h]:mm"),IF(U96&lt;&gt;"",TEXT(U96-B96,"[h]:mm"),"")))</f>
        <v/>
      </c>
      <c r="T96" s="6">
        <f>IF(OR(O96="",B96=""),"",TEXT(O96-B96,"[h]:mm"))</f>
        <v/>
      </c>
    </row>
    <row r="97">
      <c r="A97" t="inlineStr">
        <is>
          <t>ED BU</t>
        </is>
      </c>
      <c r="B97" s="3" t="n">
        <v>45721.47430555556</v>
      </c>
      <c r="C97" t="inlineStr">
        <is>
          <t>Mohamed binti Abdullah</t>
        </is>
      </c>
      <c r="D97" t="inlineStr">
        <is>
          <t>Mohamed</t>
        </is>
      </c>
      <c r="E97" s="4" t="inlineStr">
        <is>
          <t>410204-10-0993</t>
        </is>
      </c>
      <c r="F97" t="inlineStr">
        <is>
          <t>MRN108523</t>
        </is>
      </c>
      <c r="G97" s="5" t="n">
        <v>84</v>
      </c>
      <c r="H97" t="inlineStr">
        <is>
          <t>Female</t>
        </is>
      </c>
      <c r="I97" t="inlineStr">
        <is>
          <t>gz</t>
        </is>
      </c>
      <c r="J97" t="inlineStr">
        <is>
          <t>bugz-waiting</t>
        </is>
      </c>
      <c r="K97" t="inlineStr">
        <is>
          <t>gz</t>
        </is>
      </c>
      <c r="L97" t="inlineStr">
        <is>
          <t>ongoingtreatment</t>
        </is>
      </c>
      <c r="N97" s="4" t="inlineStr">
        <is>
          <t>36</t>
        </is>
      </c>
      <c r="R97" s="6">
        <f>IF(OR(Q97="",P97=""),"",TEXT(Q97-P97,"[h]:mm"))</f>
        <v/>
      </c>
      <c r="S97" s="6">
        <f>IF(B97="","",IF(Q97&lt;&gt;"",TEXT(Q97-B97,"[h]:mm"),IF(U97&lt;&gt;"",TEXT(U97-B97,"[h]:mm"),"")))</f>
        <v/>
      </c>
      <c r="T97" s="6">
        <f>IF(OR(O97="",B97=""),"",TEXT(O97-B97,"[h]:mm"))</f>
        <v/>
      </c>
    </row>
    <row r="98">
      <c r="A98" t="inlineStr">
        <is>
          <t>ED BU</t>
        </is>
      </c>
      <c r="B98" s="3" t="n">
        <v>45721.475</v>
      </c>
      <c r="C98" t="inlineStr">
        <is>
          <t>Hafizah binti Ismail</t>
        </is>
      </c>
      <c r="D98" t="inlineStr">
        <is>
          <t>Hafizah</t>
        </is>
      </c>
      <c r="E98" s="4" t="inlineStr">
        <is>
          <t>990210-06-5611</t>
        </is>
      </c>
      <c r="F98" t="inlineStr">
        <is>
          <t>MRN160747</t>
        </is>
      </c>
      <c r="G98" s="5" t="n">
        <v>26</v>
      </c>
      <c r="H98" t="inlineStr">
        <is>
          <t>Female</t>
        </is>
      </c>
      <c r="I98" t="inlineStr">
        <is>
          <t>gz</t>
        </is>
      </c>
      <c r="J98" t="inlineStr">
        <is>
          <t>bugz-waiting</t>
        </is>
      </c>
      <c r="K98" t="inlineStr">
        <is>
          <t>gz</t>
        </is>
      </c>
      <c r="L98" t="inlineStr">
        <is>
          <t>ongoingtreatment</t>
        </is>
      </c>
      <c r="N98" s="4" t="inlineStr">
        <is>
          <t>20</t>
        </is>
      </c>
      <c r="R98" s="6">
        <f>IF(OR(Q98="",P98=""),"",TEXT(Q98-P98,"[h]:mm"))</f>
        <v/>
      </c>
      <c r="S98" s="6">
        <f>IF(B98="","",IF(Q98&lt;&gt;"",TEXT(Q98-B98,"[h]:mm"),IF(U98&lt;&gt;"",TEXT(U98-B98,"[h]:mm"),"")))</f>
        <v/>
      </c>
      <c r="T98" s="6">
        <f>IF(OR(O98="",B98=""),"",TEXT(O98-B98,"[h]:mm"))</f>
        <v/>
      </c>
    </row>
    <row r="99">
      <c r="A99" t="inlineStr">
        <is>
          <t>ED BU</t>
        </is>
      </c>
      <c r="B99" s="3" t="n">
        <v>45721.47777777778</v>
      </c>
      <c r="C99" t="inlineStr">
        <is>
          <t>Norizan bin Ibrahim</t>
        </is>
      </c>
      <c r="D99" t="inlineStr">
        <is>
          <t>Norizan</t>
        </is>
      </c>
      <c r="E99" s="4" t="inlineStr">
        <is>
          <t>950815-06-3518</t>
        </is>
      </c>
      <c r="F99" t="inlineStr">
        <is>
          <t>MRN132078</t>
        </is>
      </c>
      <c r="G99" s="5" t="n">
        <v>30</v>
      </c>
      <c r="H99" t="inlineStr">
        <is>
          <t>Male</t>
        </is>
      </c>
      <c r="I99" t="inlineStr">
        <is>
          <t>rz</t>
        </is>
      </c>
      <c r="J99" t="inlineStr">
        <is>
          <t>burz06</t>
        </is>
      </c>
      <c r="K99" t="inlineStr">
        <is>
          <t>rz</t>
        </is>
      </c>
      <c r="L99" t="inlineStr">
        <is>
          <t>admitted</t>
        </is>
      </c>
      <c r="M99" t="inlineStr">
        <is>
          <t>Special Needs Dental</t>
        </is>
      </c>
      <c r="N99" s="4" t="n"/>
      <c r="P99" s="3" t="n">
        <v>45721.5375</v>
      </c>
      <c r="Q99" s="3" t="n">
        <v>45721.59375</v>
      </c>
      <c r="R99" s="6">
        <f>IF(OR(Q99="",P99=""),"",TEXT(Q99-P99,"[h]:mm"))</f>
        <v/>
      </c>
      <c r="S99" s="6">
        <f>IF(B99="","",IF(Q99&lt;&gt;"",TEXT(Q99-B99,"[h]:mm"),IF(U99&lt;&gt;"",TEXT(U99-B99,"[h]:mm"),"")))</f>
        <v/>
      </c>
      <c r="T99" s="6">
        <f>IF(OR(O99="",B99=""),"",TEXT(O99-B99,"[h]:mm"))</f>
        <v/>
      </c>
    </row>
    <row r="100">
      <c r="A100" t="inlineStr">
        <is>
          <t>ED BU</t>
        </is>
      </c>
      <c r="B100" s="3" t="n">
        <v>45721.47916666666</v>
      </c>
      <c r="C100" t="inlineStr">
        <is>
          <t>Norizan bin Ismail</t>
        </is>
      </c>
      <c r="D100" t="inlineStr">
        <is>
          <t>Norizan</t>
        </is>
      </c>
      <c r="E100" s="4" t="inlineStr">
        <is>
          <t>860620-13-4440</t>
        </is>
      </c>
      <c r="F100" t="inlineStr">
        <is>
          <t>MRN440241</t>
        </is>
      </c>
      <c r="G100" s="5" t="n">
        <v>39</v>
      </c>
      <c r="H100" t="inlineStr">
        <is>
          <t>Male</t>
        </is>
      </c>
      <c r="I100" t="inlineStr">
        <is>
          <t>rz</t>
        </is>
      </c>
      <c r="J100" t="inlineStr">
        <is>
          <t>burz12crisis</t>
        </is>
      </c>
      <c r="K100" t="inlineStr">
        <is>
          <t>rz</t>
        </is>
      </c>
      <c r="L100" t="inlineStr">
        <is>
          <t>referred</t>
        </is>
      </c>
      <c r="M100" t="inlineStr">
        <is>
          <t>Psychiatry</t>
        </is>
      </c>
      <c r="N100" s="4" t="n"/>
      <c r="R100" s="6">
        <f>IF(OR(Q100="",P100=""),"",TEXT(Q100-P100,"[h]:mm"))</f>
        <v/>
      </c>
      <c r="S100" s="6">
        <f>IF(B100="","",IF(Q100&lt;&gt;"",TEXT(Q100-B100,"[h]:mm"),IF(U100&lt;&gt;"",TEXT(U100-B100,"[h]:mm"),"")))</f>
        <v/>
      </c>
      <c r="T100" s="6">
        <f>IF(OR(O100="",B100=""),"",TEXT(O100-B100,"[h]:mm"))</f>
        <v/>
      </c>
    </row>
    <row r="101">
      <c r="A101" t="inlineStr">
        <is>
          <t>ED WCC</t>
        </is>
      </c>
      <c r="B101" s="3" t="n">
        <v>45721.48055555556</v>
      </c>
      <c r="C101" t="inlineStr">
        <is>
          <t>Farah bin Mohamed</t>
        </is>
      </c>
      <c r="D101" t="inlineStr">
        <is>
          <t>Farah</t>
        </is>
      </c>
      <c r="E101" s="4" t="inlineStr">
        <is>
          <t>160928-01-6283</t>
        </is>
      </c>
      <c r="F101" t="inlineStr">
        <is>
          <t>MRN850376</t>
        </is>
      </c>
      <c r="G101" s="5" t="n">
        <v>9</v>
      </c>
      <c r="H101" t="inlineStr">
        <is>
          <t>Male</t>
        </is>
      </c>
      <c r="I101" t="inlineStr">
        <is>
          <t>gz</t>
        </is>
      </c>
      <c r="J101" t="inlineStr">
        <is>
          <t>wccgz-waiting</t>
        </is>
      </c>
      <c r="K101" t="inlineStr">
        <is>
          <t>gz</t>
        </is>
      </c>
      <c r="L101" t="inlineStr">
        <is>
          <t>ongoingtreatment</t>
        </is>
      </c>
      <c r="N101" s="4" t="inlineStr">
        <is>
          <t>37</t>
        </is>
      </c>
      <c r="R101" s="6">
        <f>IF(OR(Q101="",P101=""),"",TEXT(Q101-P101,"[h]:mm"))</f>
        <v/>
      </c>
      <c r="S101" s="6">
        <f>IF(B101="","",IF(Q101&lt;&gt;"",TEXT(Q101-B101,"[h]:mm"),IF(U101&lt;&gt;"",TEXT(U101-B101,"[h]:mm"),"")))</f>
        <v/>
      </c>
      <c r="T101" s="6">
        <f>IF(OR(O101="",B101=""),"",TEXT(O101-B101,"[h]:mm"))</f>
        <v/>
      </c>
    </row>
    <row r="102">
      <c r="A102" t="inlineStr">
        <is>
          <t>ED BU</t>
        </is>
      </c>
      <c r="B102" s="3" t="n">
        <v>45721.48263888889</v>
      </c>
      <c r="C102" t="inlineStr">
        <is>
          <t>Suraya bin Mohamed</t>
        </is>
      </c>
      <c r="D102" t="inlineStr">
        <is>
          <t>Suraya</t>
        </is>
      </c>
      <c r="E102" s="4" t="inlineStr">
        <is>
          <t>891119-07-0706</t>
        </is>
      </c>
      <c r="F102" t="inlineStr">
        <is>
          <t>MRN925782</t>
        </is>
      </c>
      <c r="G102" s="5" t="n">
        <v>36</v>
      </c>
      <c r="H102" t="inlineStr">
        <is>
          <t>Male</t>
        </is>
      </c>
      <c r="I102" t="inlineStr">
        <is>
          <t>yz</t>
        </is>
      </c>
      <c r="J102" t="inlineStr">
        <is>
          <t>buyz39crisis</t>
        </is>
      </c>
      <c r="K102" t="inlineStr">
        <is>
          <t>yz</t>
        </is>
      </c>
      <c r="L102" t="inlineStr">
        <is>
          <t>admitted</t>
        </is>
      </c>
      <c r="M102" t="inlineStr">
        <is>
          <t>Psychiatry</t>
        </is>
      </c>
      <c r="N102" s="4" t="n"/>
      <c r="P102" s="3" t="n">
        <v>45721.55069444444</v>
      </c>
      <c r="Q102" s="3" t="n">
        <v>45721.625</v>
      </c>
      <c r="R102" s="6">
        <f>IF(OR(Q102="",P102=""),"",TEXT(Q102-P102,"[h]:mm"))</f>
        <v/>
      </c>
      <c r="S102" s="6">
        <f>IF(B102="","",IF(Q102&lt;&gt;"",TEXT(Q102-B102,"[h]:mm"),IF(U102&lt;&gt;"",TEXT(U102-B102,"[h]:mm"),"")))</f>
        <v/>
      </c>
      <c r="T102" s="6">
        <f>IF(OR(O102="",B102=""),"",TEXT(O102-B102,"[h]:mm"))</f>
        <v/>
      </c>
    </row>
    <row r="103">
      <c r="A103" t="inlineStr">
        <is>
          <t>ED WCC</t>
        </is>
      </c>
      <c r="B103" s="3" t="n">
        <v>45721.48541666667</v>
      </c>
      <c r="C103" t="inlineStr">
        <is>
          <t>Norizan bin Rahman</t>
        </is>
      </c>
      <c r="D103" t="inlineStr">
        <is>
          <t>Norizan</t>
        </is>
      </c>
      <c r="E103" s="4" t="inlineStr">
        <is>
          <t>131015-03-8267</t>
        </is>
      </c>
      <c r="F103" t="inlineStr">
        <is>
          <t>MRN167629</t>
        </is>
      </c>
      <c r="G103" s="5" t="n">
        <v>12</v>
      </c>
      <c r="H103" t="inlineStr">
        <is>
          <t>Male</t>
        </is>
      </c>
      <c r="I103" t="inlineStr">
        <is>
          <t>ob</t>
        </is>
      </c>
      <c r="J103" t="inlineStr">
        <is>
          <t>wccob07</t>
        </is>
      </c>
      <c r="K103" t="inlineStr">
        <is>
          <t>ob</t>
        </is>
      </c>
      <c r="L103" t="inlineStr">
        <is>
          <t>ongoingtreatment</t>
        </is>
      </c>
      <c r="N103" s="4" t="n"/>
      <c r="R103" s="6">
        <f>IF(OR(Q103="",P103=""),"",TEXT(Q103-P103,"[h]:mm"))</f>
        <v/>
      </c>
      <c r="S103" s="6">
        <f>IF(B103="","",IF(Q103&lt;&gt;"",TEXT(Q103-B103,"[h]:mm"),IF(U103&lt;&gt;"",TEXT(U103-B103,"[h]:mm"),"")))</f>
        <v/>
      </c>
      <c r="T103" s="6">
        <f>IF(OR(O103="",B103=""),"",TEXT(O103-B103,"[h]:mm"))</f>
        <v/>
      </c>
    </row>
    <row r="104">
      <c r="A104" t="inlineStr">
        <is>
          <t>ED BU</t>
        </is>
      </c>
      <c r="B104" s="3" t="n">
        <v>45721.48541666667</v>
      </c>
      <c r="C104" t="inlineStr">
        <is>
          <t>Rohani binti Mohamed</t>
        </is>
      </c>
      <c r="D104" t="inlineStr">
        <is>
          <t>Rohani</t>
        </is>
      </c>
      <c r="E104" s="4" t="inlineStr">
        <is>
          <t>041005-03-4956</t>
        </is>
      </c>
      <c r="F104" t="inlineStr">
        <is>
          <t>MRN277051</t>
        </is>
      </c>
      <c r="G104" s="5" t="n">
        <v>21</v>
      </c>
      <c r="H104" t="inlineStr">
        <is>
          <t>Female</t>
        </is>
      </c>
      <c r="I104" t="inlineStr">
        <is>
          <t>rz</t>
        </is>
      </c>
      <c r="J104" t="inlineStr">
        <is>
          <t>burz10crisis</t>
        </is>
      </c>
      <c r="K104" t="inlineStr">
        <is>
          <t>rz</t>
        </is>
      </c>
      <c r="L104" t="inlineStr">
        <is>
          <t>ongoingtreatment</t>
        </is>
      </c>
      <c r="N104" s="4" t="n"/>
      <c r="R104" s="6">
        <f>IF(OR(Q104="",P104=""),"",TEXT(Q104-P104,"[h]:mm"))</f>
        <v/>
      </c>
      <c r="S104" s="6">
        <f>IF(B104="","",IF(Q104&lt;&gt;"",TEXT(Q104-B104,"[h]:mm"),IF(U104&lt;&gt;"",TEXT(U104-B104,"[h]:mm"),"")))</f>
        <v/>
      </c>
      <c r="T104" s="6">
        <f>IF(OR(O104="",B104=""),"",TEXT(O104-B104,"[h]:mm"))</f>
        <v/>
      </c>
    </row>
    <row r="105">
      <c r="A105" t="inlineStr">
        <is>
          <t>ED BU</t>
        </is>
      </c>
      <c r="B105" s="3" t="n">
        <v>45721.48541666667</v>
      </c>
      <c r="C105" t="inlineStr">
        <is>
          <t>Aisyah bin Osman</t>
        </is>
      </c>
      <c r="D105" t="inlineStr">
        <is>
          <t>Aisyah</t>
        </is>
      </c>
      <c r="E105" s="4" t="inlineStr">
        <is>
          <t>540517-11-1715</t>
        </is>
      </c>
      <c r="F105" t="inlineStr">
        <is>
          <t>MRN110265</t>
        </is>
      </c>
      <c r="G105" s="5" t="n">
        <v>71</v>
      </c>
      <c r="H105" t="inlineStr">
        <is>
          <t>Male</t>
        </is>
      </c>
      <c r="I105" t="inlineStr">
        <is>
          <t>yz</t>
        </is>
      </c>
      <c r="J105" t="inlineStr">
        <is>
          <t>buyz06</t>
        </is>
      </c>
      <c r="K105" t="inlineStr">
        <is>
          <t>yz</t>
        </is>
      </c>
      <c r="L105" t="inlineStr">
        <is>
          <t>ongoingtreatment</t>
        </is>
      </c>
      <c r="N105" s="4" t="n"/>
      <c r="R105" s="6">
        <f>IF(OR(Q105="",P105=""),"",TEXT(Q105-P105,"[h]:mm"))</f>
        <v/>
      </c>
      <c r="S105" s="6">
        <f>IF(B105="","",IF(Q105&lt;&gt;"",TEXT(Q105-B105,"[h]:mm"),IF(U105&lt;&gt;"",TEXT(U105-B105,"[h]:mm"),"")))</f>
        <v/>
      </c>
      <c r="T105" s="6">
        <f>IF(OR(O105="",B105=""),"",TEXT(O105-B105,"[h]:mm"))</f>
        <v/>
      </c>
    </row>
    <row r="106">
      <c r="A106" t="inlineStr">
        <is>
          <t>ED BU</t>
        </is>
      </c>
      <c r="B106" s="3" t="n">
        <v>45721.48611111111</v>
      </c>
      <c r="C106" t="inlineStr">
        <is>
          <t>Syed binti Ismail</t>
        </is>
      </c>
      <c r="D106" t="inlineStr">
        <is>
          <t>Syed</t>
        </is>
      </c>
      <c r="E106" s="4" t="inlineStr">
        <is>
          <t>950522-01-1905</t>
        </is>
      </c>
      <c r="F106" t="inlineStr">
        <is>
          <t>MRN800384</t>
        </is>
      </c>
      <c r="G106" s="5" t="n">
        <v>30</v>
      </c>
      <c r="H106" t="inlineStr">
        <is>
          <t>Female</t>
        </is>
      </c>
      <c r="I106" t="inlineStr">
        <is>
          <t>gz</t>
        </is>
      </c>
      <c r="J106" t="inlineStr">
        <is>
          <t>bugz-waiting</t>
        </is>
      </c>
      <c r="K106" t="inlineStr">
        <is>
          <t>gz</t>
        </is>
      </c>
      <c r="L106" t="inlineStr">
        <is>
          <t>ongoingtreatment</t>
        </is>
      </c>
      <c r="N106" s="4" t="inlineStr">
        <is>
          <t>48</t>
        </is>
      </c>
      <c r="R106" s="6">
        <f>IF(OR(Q106="",P106=""),"",TEXT(Q106-P106,"[h]:mm"))</f>
        <v/>
      </c>
      <c r="S106" s="6">
        <f>IF(B106="","",IF(Q106&lt;&gt;"",TEXT(Q106-B106,"[h]:mm"),IF(U106&lt;&gt;"",TEXT(U106-B106,"[h]:mm"),"")))</f>
        <v/>
      </c>
      <c r="T106" s="6">
        <f>IF(OR(O106="",B106=""),"",TEXT(O106-B106,"[h]:mm"))</f>
        <v/>
      </c>
    </row>
    <row r="107">
      <c r="A107" t="inlineStr">
        <is>
          <t>ED BU</t>
        </is>
      </c>
      <c r="B107" s="3" t="n">
        <v>45721.48680555556</v>
      </c>
      <c r="C107" t="inlineStr">
        <is>
          <t>Norliza bin Osman</t>
        </is>
      </c>
      <c r="D107" t="inlineStr">
        <is>
          <t>Norliza</t>
        </is>
      </c>
      <c r="E107" s="4" t="inlineStr">
        <is>
          <t>560615-04-5263</t>
        </is>
      </c>
      <c r="F107" t="inlineStr">
        <is>
          <t>MRN454234</t>
        </is>
      </c>
      <c r="G107" s="5" t="n">
        <v>69</v>
      </c>
      <c r="H107" t="inlineStr">
        <is>
          <t>Male</t>
        </is>
      </c>
      <c r="I107" t="inlineStr">
        <is>
          <t>gz</t>
        </is>
      </c>
      <c r="J107" t="inlineStr">
        <is>
          <t>bugz-waiting</t>
        </is>
      </c>
      <c r="K107" t="inlineStr">
        <is>
          <t>gz</t>
        </is>
      </c>
      <c r="L107" t="inlineStr">
        <is>
          <t>ongoingtreatment</t>
        </is>
      </c>
      <c r="N107" s="4" t="inlineStr">
        <is>
          <t>22</t>
        </is>
      </c>
      <c r="R107" s="6">
        <f>IF(OR(Q107="",P107=""),"",TEXT(Q107-P107,"[h]:mm"))</f>
        <v/>
      </c>
      <c r="S107" s="6">
        <f>IF(B107="","",IF(Q107&lt;&gt;"",TEXT(Q107-B107,"[h]:mm"),IF(U107&lt;&gt;"",TEXT(U107-B107,"[h]:mm"),"")))</f>
        <v/>
      </c>
      <c r="T107" s="6">
        <f>IF(OR(O107="",B107=""),"",TEXT(O107-B107,"[h]:mm"))</f>
        <v/>
      </c>
    </row>
    <row r="108">
      <c r="A108" t="inlineStr">
        <is>
          <t>ED WCC</t>
        </is>
      </c>
      <c r="B108" s="3" t="n">
        <v>45721.48958333334</v>
      </c>
      <c r="C108" t="inlineStr">
        <is>
          <t>Aisyah bin Ibrahim</t>
        </is>
      </c>
      <c r="D108" t="inlineStr">
        <is>
          <t>Aisyah</t>
        </is>
      </c>
      <c r="E108" s="4" t="inlineStr">
        <is>
          <t>060307-06-7528</t>
        </is>
      </c>
      <c r="F108" t="inlineStr">
        <is>
          <t>MRN765325</t>
        </is>
      </c>
      <c r="G108" s="5" t="n">
        <v>19</v>
      </c>
      <c r="H108" t="inlineStr">
        <is>
          <t>Male</t>
        </is>
      </c>
      <c r="I108" t="inlineStr">
        <is>
          <t>ob</t>
        </is>
      </c>
      <c r="J108" t="inlineStr">
        <is>
          <t>wccob06</t>
        </is>
      </c>
      <c r="K108" t="inlineStr">
        <is>
          <t>ob</t>
        </is>
      </c>
      <c r="L108" t="inlineStr">
        <is>
          <t>ongoingtreatment</t>
        </is>
      </c>
      <c r="N108" s="4" t="n"/>
      <c r="R108" s="6">
        <f>IF(OR(Q108="",P108=""),"",TEXT(Q108-P108,"[h]:mm"))</f>
        <v/>
      </c>
      <c r="S108" s="6">
        <f>IF(B108="","",IF(Q108&lt;&gt;"",TEXT(Q108-B108,"[h]:mm"),IF(U108&lt;&gt;"",TEXT(U108-B108,"[h]:mm"),"")))</f>
        <v/>
      </c>
      <c r="T108" s="6">
        <f>IF(OR(O108="",B108=""),"",TEXT(O108-B108,"[h]:mm"))</f>
        <v/>
      </c>
    </row>
    <row r="109">
      <c r="A109" t="inlineStr">
        <is>
          <t>ED WCC</t>
        </is>
      </c>
      <c r="B109" s="3" t="n">
        <v>45721.49305555555</v>
      </c>
      <c r="C109" t="inlineStr">
        <is>
          <t>Zuraidah binti Zakaria</t>
        </is>
      </c>
      <c r="D109" t="inlineStr">
        <is>
          <t>Zuraidah</t>
        </is>
      </c>
      <c r="E109" s="4" t="inlineStr">
        <is>
          <t>241112-11-0993</t>
        </is>
      </c>
      <c r="F109" t="inlineStr">
        <is>
          <t>MRN253579</t>
        </is>
      </c>
      <c r="G109" s="5" t="n">
        <v>1</v>
      </c>
      <c r="H109" t="inlineStr">
        <is>
          <t>Female</t>
        </is>
      </c>
      <c r="I109" t="inlineStr">
        <is>
          <t>gz</t>
        </is>
      </c>
      <c r="J109" t="inlineStr">
        <is>
          <t>wccgz-waiting</t>
        </is>
      </c>
      <c r="K109" t="inlineStr">
        <is>
          <t>gz</t>
        </is>
      </c>
      <c r="L109" t="inlineStr">
        <is>
          <t>ongoingtreatment</t>
        </is>
      </c>
      <c r="N109" s="4" t="inlineStr">
        <is>
          <t>49</t>
        </is>
      </c>
      <c r="R109" s="6">
        <f>IF(OR(Q109="",P109=""),"",TEXT(Q109-P109,"[h]:mm"))</f>
        <v/>
      </c>
      <c r="S109" s="6">
        <f>IF(B109="","",IF(Q109&lt;&gt;"",TEXT(Q109-B109,"[h]:mm"),IF(U109&lt;&gt;"",TEXT(U109-B109,"[h]:mm"),"")))</f>
        <v/>
      </c>
      <c r="T109" s="6">
        <f>IF(OR(O109="",B109=""),"",TEXT(O109-B109,"[h]:mm"))</f>
        <v/>
      </c>
    </row>
    <row r="110">
      <c r="A110" t="inlineStr">
        <is>
          <t>ED WCC</t>
        </is>
      </c>
      <c r="B110" s="3" t="n">
        <v>45721.49375</v>
      </c>
      <c r="C110" t="inlineStr">
        <is>
          <t>Nurul bin Yusof</t>
        </is>
      </c>
      <c r="D110" t="inlineStr">
        <is>
          <t>Nurul</t>
        </is>
      </c>
      <c r="E110" s="4" t="inlineStr">
        <is>
          <t>800125-08-5604</t>
        </is>
      </c>
      <c r="F110" t="inlineStr">
        <is>
          <t>MRN693469</t>
        </is>
      </c>
      <c r="G110" s="5" t="n">
        <v>45</v>
      </c>
      <c r="H110" t="inlineStr">
        <is>
          <t>Male</t>
        </is>
      </c>
      <c r="I110" t="inlineStr">
        <is>
          <t>yz</t>
        </is>
      </c>
      <c r="J110" t="inlineStr">
        <is>
          <t>wccyz02</t>
        </is>
      </c>
      <c r="K110" t="inlineStr">
        <is>
          <t>yz</t>
        </is>
      </c>
      <c r="L110" t="inlineStr">
        <is>
          <t>ongoingtreatment</t>
        </is>
      </c>
      <c r="N110" s="4" t="n"/>
      <c r="R110" s="6">
        <f>IF(OR(Q110="",P110=""),"",TEXT(Q110-P110,"[h]:mm"))</f>
        <v/>
      </c>
      <c r="S110" s="6">
        <f>IF(B110="","",IF(Q110&lt;&gt;"",TEXT(Q110-B110,"[h]:mm"),IF(U110&lt;&gt;"",TEXT(U110-B110,"[h]:mm"),"")))</f>
        <v/>
      </c>
      <c r="T110" s="6">
        <f>IF(OR(O110="",B110=""),"",TEXT(O110-B110,"[h]:mm"))</f>
        <v/>
      </c>
    </row>
    <row r="111">
      <c r="A111" t="inlineStr">
        <is>
          <t>ED WCC</t>
        </is>
      </c>
      <c r="B111" s="3" t="n">
        <v>45721.49583333333</v>
      </c>
      <c r="C111" t="inlineStr">
        <is>
          <t>Farah binti Rahman</t>
        </is>
      </c>
      <c r="D111" t="inlineStr">
        <is>
          <t>Farah</t>
        </is>
      </c>
      <c r="E111" s="4" t="inlineStr">
        <is>
          <t>190103-12-8974</t>
        </is>
      </c>
      <c r="F111" t="inlineStr">
        <is>
          <t>MRN763348</t>
        </is>
      </c>
      <c r="G111" s="5" t="n">
        <v>6</v>
      </c>
      <c r="H111" t="inlineStr">
        <is>
          <t>Female</t>
        </is>
      </c>
      <c r="I111" t="inlineStr">
        <is>
          <t>gz</t>
        </is>
      </c>
      <c r="J111" t="inlineStr">
        <is>
          <t>wccgz-waiting</t>
        </is>
      </c>
      <c r="K111" t="inlineStr">
        <is>
          <t>gz</t>
        </is>
      </c>
      <c r="L111" t="inlineStr">
        <is>
          <t>ongoingtreatment</t>
        </is>
      </c>
      <c r="N111" s="4" t="inlineStr">
        <is>
          <t>14</t>
        </is>
      </c>
      <c r="R111" s="6">
        <f>IF(OR(Q111="",P111=""),"",TEXT(Q111-P111,"[h]:mm"))</f>
        <v/>
      </c>
      <c r="S111" s="6">
        <f>IF(B111="","",IF(Q111&lt;&gt;"",TEXT(Q111-B111,"[h]:mm"),IF(U111&lt;&gt;"",TEXT(U111-B111,"[h]:mm"),"")))</f>
        <v/>
      </c>
      <c r="T111" s="6">
        <f>IF(OR(O111="",B111=""),"",TEXT(O111-B111,"[h]:mm"))</f>
        <v/>
      </c>
    </row>
    <row r="112">
      <c r="A112" t="inlineStr">
        <is>
          <t>ED WCC</t>
        </is>
      </c>
      <c r="B112" s="3" t="n">
        <v>45721.49722222222</v>
      </c>
      <c r="C112" t="inlineStr">
        <is>
          <t>Suraya bin Rahman</t>
        </is>
      </c>
      <c r="D112" t="inlineStr">
        <is>
          <t>Suraya</t>
        </is>
      </c>
      <c r="E112" s="4" t="inlineStr">
        <is>
          <t>220424-05-9020</t>
        </is>
      </c>
      <c r="F112" t="inlineStr">
        <is>
          <t>MRN886732</t>
        </is>
      </c>
      <c r="G112" s="5" t="n">
        <v>3</v>
      </c>
      <c r="H112" t="inlineStr">
        <is>
          <t>Male</t>
        </is>
      </c>
      <c r="I112" t="inlineStr">
        <is>
          <t>gz</t>
        </is>
      </c>
      <c r="J112" t="inlineStr">
        <is>
          <t>wccgz-waiting</t>
        </is>
      </c>
      <c r="K112" t="inlineStr">
        <is>
          <t>gz</t>
        </is>
      </c>
      <c r="L112" t="inlineStr">
        <is>
          <t>ongoingtreatment</t>
        </is>
      </c>
      <c r="N112" s="4" t="inlineStr">
        <is>
          <t>2</t>
        </is>
      </c>
      <c r="R112" s="6">
        <f>IF(OR(Q112="",P112=""),"",TEXT(Q112-P112,"[h]:mm"))</f>
        <v/>
      </c>
      <c r="S112" s="6">
        <f>IF(B112="","",IF(Q112&lt;&gt;"",TEXT(Q112-B112,"[h]:mm"),IF(U112&lt;&gt;"",TEXT(U112-B112,"[h]:mm"),"")))</f>
        <v/>
      </c>
      <c r="T112" s="6">
        <f>IF(OR(O112="",B112=""),"",TEXT(O112-B112,"[h]:mm"))</f>
        <v/>
      </c>
    </row>
    <row r="113">
      <c r="A113" t="inlineStr">
        <is>
          <t>ED WCC</t>
        </is>
      </c>
      <c r="B113" s="3" t="n">
        <v>45721.49791666667</v>
      </c>
      <c r="C113" t="inlineStr">
        <is>
          <t>Anis bin Omar</t>
        </is>
      </c>
      <c r="D113" t="inlineStr">
        <is>
          <t>Anis</t>
        </is>
      </c>
      <c r="E113" s="4" t="inlineStr">
        <is>
          <t>040818-04-2477</t>
        </is>
      </c>
      <c r="F113" t="inlineStr">
        <is>
          <t>MRN613327</t>
        </is>
      </c>
      <c r="G113" s="5" t="n">
        <v>21</v>
      </c>
      <c r="H113" t="inlineStr">
        <is>
          <t>Male</t>
        </is>
      </c>
      <c r="I113" t="inlineStr">
        <is>
          <t>gz</t>
        </is>
      </c>
      <c r="J113" t="inlineStr">
        <is>
          <t>wccgz-waiting</t>
        </is>
      </c>
      <c r="K113" t="inlineStr">
        <is>
          <t>gz</t>
        </is>
      </c>
      <c r="L113" t="inlineStr">
        <is>
          <t>ongoingtreatment</t>
        </is>
      </c>
      <c r="N113" s="4" t="inlineStr">
        <is>
          <t>27</t>
        </is>
      </c>
      <c r="R113" s="6">
        <f>IF(OR(Q113="",P113=""),"",TEXT(Q113-P113,"[h]:mm"))</f>
        <v/>
      </c>
      <c r="S113" s="6">
        <f>IF(B113="","",IF(Q113&lt;&gt;"",TEXT(Q113-B113,"[h]:mm"),IF(U113&lt;&gt;"",TEXT(U113-B113,"[h]:mm"),"")))</f>
        <v/>
      </c>
      <c r="T113" s="6">
        <f>IF(OR(O113="",B113=""),"",TEXT(O113-B113,"[h]:mm"))</f>
        <v/>
      </c>
    </row>
    <row r="114">
      <c r="A114" t="inlineStr">
        <is>
          <t>ED BU</t>
        </is>
      </c>
      <c r="B114" s="3" t="n">
        <v>45721.49791666667</v>
      </c>
      <c r="C114" t="inlineStr">
        <is>
          <t>Izzuddin binti Abdullah</t>
        </is>
      </c>
      <c r="D114" t="inlineStr">
        <is>
          <t>Izzuddin</t>
        </is>
      </c>
      <c r="E114" s="4" t="inlineStr">
        <is>
          <t>970223-01-1920</t>
        </is>
      </c>
      <c r="F114" t="inlineStr">
        <is>
          <t>MRN332056</t>
        </is>
      </c>
      <c r="G114" s="5" t="n">
        <v>28</v>
      </c>
      <c r="H114" t="inlineStr">
        <is>
          <t>Female</t>
        </is>
      </c>
      <c r="I114" t="inlineStr">
        <is>
          <t>gz</t>
        </is>
      </c>
      <c r="J114" t="inlineStr">
        <is>
          <t>bugz-waiting</t>
        </is>
      </c>
      <c r="K114" t="inlineStr">
        <is>
          <t>gz</t>
        </is>
      </c>
      <c r="L114" t="inlineStr">
        <is>
          <t>ongoingtreatment</t>
        </is>
      </c>
      <c r="N114" s="4" t="inlineStr">
        <is>
          <t>27</t>
        </is>
      </c>
      <c r="R114" s="6">
        <f>IF(OR(Q114="",P114=""),"",TEXT(Q114-P114,"[h]:mm"))</f>
        <v/>
      </c>
      <c r="S114" s="6">
        <f>IF(B114="","",IF(Q114&lt;&gt;"",TEXT(Q114-B114,"[h]:mm"),IF(U114&lt;&gt;"",TEXT(U114-B114,"[h]:mm"),"")))</f>
        <v/>
      </c>
      <c r="T114" s="6">
        <f>IF(OR(O114="",B114=""),"",TEXT(O114-B114,"[h]:mm"))</f>
        <v/>
      </c>
    </row>
    <row r="115">
      <c r="A115" t="inlineStr">
        <is>
          <t>ED BU</t>
        </is>
      </c>
      <c r="B115" s="3" t="n">
        <v>45721.49930555555</v>
      </c>
      <c r="C115" t="inlineStr">
        <is>
          <t>Danial bin Ahmad</t>
        </is>
      </c>
      <c r="D115" t="inlineStr">
        <is>
          <t>Danial</t>
        </is>
      </c>
      <c r="E115" s="4" t="inlineStr">
        <is>
          <t>640726-11-6315</t>
        </is>
      </c>
      <c r="F115" t="inlineStr">
        <is>
          <t>MRN160640</t>
        </is>
      </c>
      <c r="G115" s="5" t="n">
        <v>61</v>
      </c>
      <c r="H115" t="inlineStr">
        <is>
          <t>Male</t>
        </is>
      </c>
      <c r="I115" t="inlineStr">
        <is>
          <t>yz</t>
        </is>
      </c>
      <c r="J115" t="inlineStr">
        <is>
          <t>buyz46crisis</t>
        </is>
      </c>
      <c r="K115" t="inlineStr">
        <is>
          <t>yz</t>
        </is>
      </c>
      <c r="L115" t="inlineStr">
        <is>
          <t>ongoingtreatment</t>
        </is>
      </c>
      <c r="N115" s="4" t="n"/>
      <c r="R115" s="6">
        <f>IF(OR(Q115="",P115=""),"",TEXT(Q115-P115,"[h]:mm"))</f>
        <v/>
      </c>
      <c r="S115" s="6">
        <f>IF(B115="","",IF(Q115&lt;&gt;"",TEXT(Q115-B115,"[h]:mm"),IF(U115&lt;&gt;"",TEXT(U115-B115,"[h]:mm"),"")))</f>
        <v/>
      </c>
      <c r="T115" s="6">
        <f>IF(OR(O115="",B115=""),"",TEXT(O115-B115,"[h]:mm"))</f>
        <v/>
      </c>
    </row>
    <row r="116">
      <c r="A116" t="inlineStr">
        <is>
          <t>PAC WCC</t>
        </is>
      </c>
      <c r="B116" s="3" t="n">
        <v>45721.50208333333</v>
      </c>
      <c r="C116" t="inlineStr">
        <is>
          <t>Azman binti Ahmad</t>
        </is>
      </c>
      <c r="D116" t="inlineStr">
        <is>
          <t>Azman</t>
        </is>
      </c>
      <c r="E116" s="4" t="inlineStr">
        <is>
          <t>850215-10-2121</t>
        </is>
      </c>
      <c r="F116" t="inlineStr">
        <is>
          <t>MRN416186</t>
        </is>
      </c>
      <c r="G116" s="5" t="n">
        <v>40</v>
      </c>
      <c r="H116" t="inlineStr">
        <is>
          <t>Female</t>
        </is>
      </c>
      <c r="I116" t="inlineStr">
        <is>
          <t>pac</t>
        </is>
      </c>
      <c r="J116" t="inlineStr">
        <is>
          <t>wccpac10crisis</t>
        </is>
      </c>
      <c r="K116" t="inlineStr">
        <is>
          <t>pac</t>
        </is>
      </c>
      <c r="L116" t="inlineStr">
        <is>
          <t>ongoingtreatment</t>
        </is>
      </c>
      <c r="N116" s="4" t="n"/>
      <c r="R116" s="6">
        <f>IF(OR(Q116="",P116=""),"",TEXT(Q116-P116,"[h]:mm"))</f>
        <v/>
      </c>
      <c r="S116" s="6">
        <f>IF(B116="","",IF(Q116&lt;&gt;"",TEXT(Q116-B116,"[h]:mm"),IF(U116&lt;&gt;"",TEXT(U116-B116,"[h]:mm"),"")))</f>
        <v/>
      </c>
      <c r="T116" s="6">
        <f>IF(OR(O116="",B116=""),"",TEXT(O116-B116,"[h]:mm"))</f>
        <v/>
      </c>
    </row>
    <row r="117">
      <c r="A117" t="inlineStr">
        <is>
          <t>ED WCC</t>
        </is>
      </c>
      <c r="B117" s="3" t="n">
        <v>45721.50416666667</v>
      </c>
      <c r="C117" t="inlineStr">
        <is>
          <t>Shahril binti Ahmad</t>
        </is>
      </c>
      <c r="D117" t="inlineStr">
        <is>
          <t>Shahril</t>
        </is>
      </c>
      <c r="E117" s="4" t="inlineStr">
        <is>
          <t>120402-07-7062</t>
        </is>
      </c>
      <c r="F117" t="inlineStr">
        <is>
          <t>MRN970552</t>
        </is>
      </c>
      <c r="G117" s="5" t="n">
        <v>13</v>
      </c>
      <c r="H117" t="inlineStr">
        <is>
          <t>Female</t>
        </is>
      </c>
      <c r="I117" t="inlineStr">
        <is>
          <t>rz</t>
        </is>
      </c>
      <c r="J117" t="inlineStr">
        <is>
          <t>wccrz01</t>
        </is>
      </c>
      <c r="K117" t="inlineStr">
        <is>
          <t>rz</t>
        </is>
      </c>
      <c r="L117" t="inlineStr">
        <is>
          <t>preadmit</t>
        </is>
      </c>
      <c r="M117" t="inlineStr">
        <is>
          <t>OMFS</t>
        </is>
      </c>
      <c r="N117" s="4" t="n"/>
      <c r="P117" s="3" t="n">
        <v>45721.60138888889</v>
      </c>
      <c r="R117" s="6">
        <f>IF(OR(Q117="",P117=""),"",TEXT(Q117-P117,"[h]:mm"))</f>
        <v/>
      </c>
      <c r="S117" s="6">
        <f>IF(B117="","",IF(Q117&lt;&gt;"",TEXT(Q117-B117,"[h]:mm"),IF(U117&lt;&gt;"",TEXT(U117-B117,"[h]:mm"),"")))</f>
        <v/>
      </c>
      <c r="T117" s="6">
        <f>IF(OR(O117="",B117=""),"",TEXT(O117-B117,"[h]:mm"))</f>
        <v/>
      </c>
    </row>
    <row r="118">
      <c r="A118" t="inlineStr">
        <is>
          <t>ED WCC</t>
        </is>
      </c>
      <c r="B118" s="3" t="n">
        <v>45721.50416666667</v>
      </c>
      <c r="C118" t="inlineStr">
        <is>
          <t>Zuraidah binti Ahmad</t>
        </is>
      </c>
      <c r="D118" t="inlineStr">
        <is>
          <t>Zuraidah</t>
        </is>
      </c>
      <c r="E118" s="4" t="inlineStr">
        <is>
          <t>720515-10-8036</t>
        </is>
      </c>
      <c r="F118" t="inlineStr">
        <is>
          <t>MRN166668</t>
        </is>
      </c>
      <c r="G118" s="5" t="n">
        <v>53</v>
      </c>
      <c r="H118" t="inlineStr">
        <is>
          <t>Female</t>
        </is>
      </c>
      <c r="I118" t="inlineStr">
        <is>
          <t>gz</t>
        </is>
      </c>
      <c r="J118" t="inlineStr">
        <is>
          <t>wccgz-waiting</t>
        </is>
      </c>
      <c r="K118" t="inlineStr">
        <is>
          <t>gz</t>
        </is>
      </c>
      <c r="L118" t="inlineStr">
        <is>
          <t>ongoingtreatment</t>
        </is>
      </c>
      <c r="N118" s="4" t="inlineStr">
        <is>
          <t>7</t>
        </is>
      </c>
      <c r="R118" s="6">
        <f>IF(OR(Q118="",P118=""),"",TEXT(Q118-P118,"[h]:mm"))</f>
        <v/>
      </c>
      <c r="S118" s="6">
        <f>IF(B118="","",IF(Q118&lt;&gt;"",TEXT(Q118-B118,"[h]:mm"),IF(U118&lt;&gt;"",TEXT(U118-B118,"[h]:mm"),"")))</f>
        <v/>
      </c>
      <c r="T118" s="6">
        <f>IF(OR(O118="",B118=""),"",TEXT(O118-B118,"[h]:mm"))</f>
        <v/>
      </c>
    </row>
    <row r="119">
      <c r="A119" t="inlineStr">
        <is>
          <t>ED BU</t>
        </is>
      </c>
      <c r="B119" s="3" t="n">
        <v>45721.50416666667</v>
      </c>
      <c r="C119" t="inlineStr">
        <is>
          <t>Shahril binti Ahmad</t>
        </is>
      </c>
      <c r="D119" t="inlineStr">
        <is>
          <t>Shahril</t>
        </is>
      </c>
      <c r="E119" s="4" t="inlineStr">
        <is>
          <t>710528-14-0316</t>
        </is>
      </c>
      <c r="F119" t="inlineStr">
        <is>
          <t>MRN583371</t>
        </is>
      </c>
      <c r="G119" s="5" t="n">
        <v>54</v>
      </c>
      <c r="H119" t="inlineStr">
        <is>
          <t>Female</t>
        </is>
      </c>
      <c r="I119" t="inlineStr">
        <is>
          <t>yz</t>
        </is>
      </c>
      <c r="J119" t="inlineStr">
        <is>
          <t>buyz48crisis</t>
        </is>
      </c>
      <c r="K119" t="inlineStr">
        <is>
          <t>yz</t>
        </is>
      </c>
      <c r="L119" t="inlineStr">
        <is>
          <t>ongoingtreatment</t>
        </is>
      </c>
      <c r="N119" s="4" t="n"/>
      <c r="R119" s="6">
        <f>IF(OR(Q119="",P119=""),"",TEXT(Q119-P119,"[h]:mm"))</f>
        <v/>
      </c>
      <c r="S119" s="6">
        <f>IF(B119="","",IF(Q119&lt;&gt;"",TEXT(Q119-B119,"[h]:mm"),IF(U119&lt;&gt;"",TEXT(U119-B119,"[h]:mm"),"")))</f>
        <v/>
      </c>
      <c r="T119" s="6">
        <f>IF(OR(O119="",B119=""),"",TEXT(O119-B119,"[h]:mm"))</f>
        <v/>
      </c>
    </row>
    <row r="120">
      <c r="A120" t="inlineStr">
        <is>
          <t>ED WCC</t>
        </is>
      </c>
      <c r="B120" s="3" t="n">
        <v>45721.50486111111</v>
      </c>
      <c r="C120" t="inlineStr">
        <is>
          <t>Suraya binti Ahmad</t>
        </is>
      </c>
      <c r="D120" t="inlineStr">
        <is>
          <t>Suraya</t>
        </is>
      </c>
      <c r="E120" s="4" t="inlineStr">
        <is>
          <t>981223-12-4605</t>
        </is>
      </c>
      <c r="F120" t="inlineStr">
        <is>
          <t>MRN779676</t>
        </is>
      </c>
      <c r="G120" s="5" t="n">
        <v>27</v>
      </c>
      <c r="H120" t="inlineStr">
        <is>
          <t>Female</t>
        </is>
      </c>
      <c r="I120" t="inlineStr">
        <is>
          <t>yz</t>
        </is>
      </c>
      <c r="J120" t="inlineStr">
        <is>
          <t>wccyz10crisis</t>
        </is>
      </c>
      <c r="K120" t="inlineStr">
        <is>
          <t>yz</t>
        </is>
      </c>
      <c r="L120" t="inlineStr">
        <is>
          <t>ongoingtreatment</t>
        </is>
      </c>
      <c r="N120" s="4" t="n"/>
      <c r="R120" s="6">
        <f>IF(OR(Q120="",P120=""),"",TEXT(Q120-P120,"[h]:mm"))</f>
        <v/>
      </c>
      <c r="S120" s="6">
        <f>IF(B120="","",IF(Q120&lt;&gt;"",TEXT(Q120-B120,"[h]:mm"),IF(U120&lt;&gt;"",TEXT(U120-B120,"[h]:mm"),"")))</f>
        <v/>
      </c>
      <c r="T120" s="6">
        <f>IF(OR(O120="",B120=""),"",TEXT(O120-B120,"[h]:mm"))</f>
        <v/>
      </c>
    </row>
    <row r="121">
      <c r="A121" t="inlineStr">
        <is>
          <t>ED WCC</t>
        </is>
      </c>
      <c r="B121" s="3" t="n">
        <v>45721.50763888889</v>
      </c>
      <c r="C121" t="inlineStr">
        <is>
          <t>Zainab binti Omar</t>
        </is>
      </c>
      <c r="D121" t="inlineStr">
        <is>
          <t>Zainab</t>
        </is>
      </c>
      <c r="E121" s="4" t="inlineStr">
        <is>
          <t>800501-07-0896</t>
        </is>
      </c>
      <c r="F121" t="inlineStr">
        <is>
          <t>MRN937505</t>
        </is>
      </c>
      <c r="G121" s="5" t="n">
        <v>45</v>
      </c>
      <c r="H121" t="inlineStr">
        <is>
          <t>Female</t>
        </is>
      </c>
      <c r="I121" t="inlineStr">
        <is>
          <t>rz</t>
        </is>
      </c>
      <c r="J121" t="inlineStr">
        <is>
          <t>wccrz03</t>
        </is>
      </c>
      <c r="K121" t="inlineStr">
        <is>
          <t>rz</t>
        </is>
      </c>
      <c r="L121" t="inlineStr">
        <is>
          <t>admitted</t>
        </is>
      </c>
      <c r="M121" t="inlineStr">
        <is>
          <t>O&amp;G</t>
        </is>
      </c>
      <c r="N121" s="4" t="n"/>
      <c r="P121" s="3" t="n">
        <v>45721.61805555555</v>
      </c>
      <c r="Q121" s="3" t="n">
        <v>45721.625</v>
      </c>
      <c r="R121" s="6">
        <f>IF(OR(Q121="",P121=""),"",TEXT(Q121-P121,"[h]:mm"))</f>
        <v/>
      </c>
      <c r="S121" s="6">
        <f>IF(B121="","",IF(Q121&lt;&gt;"",TEXT(Q121-B121,"[h]:mm"),IF(U121&lt;&gt;"",TEXT(U121-B121,"[h]:mm"),"")))</f>
        <v/>
      </c>
      <c r="T121" s="6">
        <f>IF(OR(O121="",B121=""),"",TEXT(O121-B121,"[h]:mm"))</f>
        <v/>
      </c>
    </row>
    <row r="122">
      <c r="A122" t="inlineStr">
        <is>
          <t>ED WCC</t>
        </is>
      </c>
      <c r="B122" s="3" t="n">
        <v>45721.50972222222</v>
      </c>
      <c r="C122" t="inlineStr">
        <is>
          <t>Izzuddin bin Hamid</t>
        </is>
      </c>
      <c r="D122" t="inlineStr">
        <is>
          <t>Izzuddin</t>
        </is>
      </c>
      <c r="E122" s="4" t="inlineStr">
        <is>
          <t>920915-06-1508</t>
        </is>
      </c>
      <c r="F122" t="inlineStr">
        <is>
          <t>MRN664355</t>
        </is>
      </c>
      <c r="G122" s="5" t="n">
        <v>33</v>
      </c>
      <c r="H122" t="inlineStr">
        <is>
          <t>Male</t>
        </is>
      </c>
      <c r="I122" t="inlineStr">
        <is>
          <t>ab</t>
        </is>
      </c>
      <c r="J122" t="inlineStr">
        <is>
          <t>wccab02</t>
        </is>
      </c>
      <c r="K122" t="inlineStr">
        <is>
          <t>ab</t>
        </is>
      </c>
      <c r="L122" t="inlineStr">
        <is>
          <t>ongoingtreatment</t>
        </is>
      </c>
      <c r="N122" s="4" t="n"/>
      <c r="R122" s="6">
        <f>IF(OR(Q122="",P122=""),"",TEXT(Q122-P122,"[h]:mm"))</f>
        <v/>
      </c>
      <c r="S122" s="6">
        <f>IF(B122="","",IF(Q122&lt;&gt;"",TEXT(Q122-B122,"[h]:mm"),IF(U122&lt;&gt;"",TEXT(U122-B122,"[h]:mm"),"")))</f>
        <v/>
      </c>
      <c r="T122" s="6">
        <f>IF(OR(O122="",B122=""),"",TEXT(O122-B122,"[h]:mm"))</f>
        <v/>
      </c>
    </row>
    <row r="123">
      <c r="A123" t="inlineStr">
        <is>
          <t>ED WCC</t>
        </is>
      </c>
      <c r="B123" s="3" t="n">
        <v>45721.50972222222</v>
      </c>
      <c r="C123" t="inlineStr">
        <is>
          <t>Suraya bin Zakaria</t>
        </is>
      </c>
      <c r="D123" t="inlineStr">
        <is>
          <t>Suraya</t>
        </is>
      </c>
      <c r="E123" s="4" t="inlineStr">
        <is>
          <t>900322-10-2939</t>
        </is>
      </c>
      <c r="F123" t="inlineStr">
        <is>
          <t>MRN692329</t>
        </is>
      </c>
      <c r="G123" s="5" t="n">
        <v>35</v>
      </c>
      <c r="H123" t="inlineStr">
        <is>
          <t>Male</t>
        </is>
      </c>
      <c r="I123" t="inlineStr">
        <is>
          <t>gz</t>
        </is>
      </c>
      <c r="J123" t="inlineStr">
        <is>
          <t>wccgz-waiting</t>
        </is>
      </c>
      <c r="K123" t="inlineStr">
        <is>
          <t>gz</t>
        </is>
      </c>
      <c r="L123" t="inlineStr">
        <is>
          <t>ongoingtreatment</t>
        </is>
      </c>
      <c r="N123" s="4" t="inlineStr">
        <is>
          <t>41</t>
        </is>
      </c>
      <c r="R123" s="6">
        <f>IF(OR(Q123="",P123=""),"",TEXT(Q123-P123,"[h]:mm"))</f>
        <v/>
      </c>
      <c r="S123" s="6">
        <f>IF(B123="","",IF(Q123&lt;&gt;"",TEXT(Q123-B123,"[h]:mm"),IF(U123&lt;&gt;"",TEXT(U123-B123,"[h]:mm"),"")))</f>
        <v/>
      </c>
      <c r="T123" s="6">
        <f>IF(OR(O123="",B123=""),"",TEXT(O123-B123,"[h]:mm"))</f>
        <v/>
      </c>
    </row>
    <row r="124">
      <c r="A124" t="inlineStr">
        <is>
          <t>ED BU</t>
        </is>
      </c>
      <c r="B124" s="3" t="n">
        <v>45721.51180555556</v>
      </c>
      <c r="C124" t="inlineStr">
        <is>
          <t>Danial bin Omar</t>
        </is>
      </c>
      <c r="D124" t="inlineStr">
        <is>
          <t>Danial</t>
        </is>
      </c>
      <c r="E124" s="4" t="inlineStr">
        <is>
          <t>740727-13-8602</t>
        </is>
      </c>
      <c r="F124" t="inlineStr">
        <is>
          <t>MRN322732</t>
        </is>
      </c>
      <c r="G124" s="5" t="n">
        <v>51</v>
      </c>
      <c r="H124" t="inlineStr">
        <is>
          <t>Male</t>
        </is>
      </c>
      <c r="I124" t="inlineStr">
        <is>
          <t>gz</t>
        </is>
      </c>
      <c r="J124" t="inlineStr">
        <is>
          <t>bugz-waiting</t>
        </is>
      </c>
      <c r="K124" t="inlineStr">
        <is>
          <t>gz</t>
        </is>
      </c>
      <c r="L124" t="inlineStr">
        <is>
          <t>ongoingtreatment</t>
        </is>
      </c>
      <c r="N124" s="4" t="inlineStr">
        <is>
          <t>28</t>
        </is>
      </c>
      <c r="R124" s="6">
        <f>IF(OR(Q124="",P124=""),"",TEXT(Q124-P124,"[h]:mm"))</f>
        <v/>
      </c>
      <c r="S124" s="6">
        <f>IF(B124="","",IF(Q124&lt;&gt;"",TEXT(Q124-B124,"[h]:mm"),IF(U124&lt;&gt;"",TEXT(U124-B124,"[h]:mm"),"")))</f>
        <v/>
      </c>
      <c r="T124" s="6">
        <f>IF(OR(O124="",B124=""),"",TEXT(O124-B124,"[h]:mm"))</f>
        <v/>
      </c>
    </row>
    <row r="125">
      <c r="A125" t="inlineStr">
        <is>
          <t>ED WCC</t>
        </is>
      </c>
      <c r="B125" s="3" t="n">
        <v>45721.5125</v>
      </c>
      <c r="C125" t="inlineStr">
        <is>
          <t>Suraya binti Hamid</t>
        </is>
      </c>
      <c r="D125" t="inlineStr">
        <is>
          <t>Suraya</t>
        </is>
      </c>
      <c r="E125" s="4" t="inlineStr">
        <is>
          <t>130602-01-6045</t>
        </is>
      </c>
      <c r="F125" t="inlineStr">
        <is>
          <t>MRN248757</t>
        </is>
      </c>
      <c r="G125" s="5" t="n">
        <v>12</v>
      </c>
      <c r="H125" t="inlineStr">
        <is>
          <t>Female</t>
        </is>
      </c>
      <c r="I125" t="inlineStr">
        <is>
          <t>gz</t>
        </is>
      </c>
      <c r="J125" t="inlineStr">
        <is>
          <t>wccgz-waiting</t>
        </is>
      </c>
      <c r="K125" t="inlineStr">
        <is>
          <t>gz</t>
        </is>
      </c>
      <c r="L125" t="inlineStr">
        <is>
          <t>ongoingtreatment</t>
        </is>
      </c>
      <c r="N125" s="4" t="inlineStr">
        <is>
          <t>32</t>
        </is>
      </c>
      <c r="R125" s="6">
        <f>IF(OR(Q125="",P125=""),"",TEXT(Q125-P125,"[h]:mm"))</f>
        <v/>
      </c>
      <c r="S125" s="6">
        <f>IF(B125="","",IF(Q125&lt;&gt;"",TEXT(Q125-B125,"[h]:mm"),IF(U125&lt;&gt;"",TEXT(U125-B125,"[h]:mm"),"")))</f>
        <v/>
      </c>
      <c r="T125" s="6">
        <f>IF(OR(O125="",B125=""),"",TEXT(O125-B125,"[h]:mm"))</f>
        <v/>
      </c>
    </row>
    <row r="126">
      <c r="A126" t="inlineStr">
        <is>
          <t>ED WCC</t>
        </is>
      </c>
      <c r="B126" s="3" t="n">
        <v>45721.51527777778</v>
      </c>
      <c r="C126" t="inlineStr">
        <is>
          <t>Shahril bin Omar</t>
        </is>
      </c>
      <c r="D126" t="inlineStr">
        <is>
          <t>Shahril</t>
        </is>
      </c>
      <c r="E126" s="4" t="inlineStr">
        <is>
          <t>060211-04-8415</t>
        </is>
      </c>
      <c r="F126" t="inlineStr">
        <is>
          <t>MRN395931</t>
        </is>
      </c>
      <c r="G126" s="5" t="n">
        <v>19</v>
      </c>
      <c r="H126" t="inlineStr">
        <is>
          <t>Male</t>
        </is>
      </c>
      <c r="I126" t="inlineStr">
        <is>
          <t>ob</t>
        </is>
      </c>
      <c r="J126" t="inlineStr">
        <is>
          <t>wccob03</t>
        </is>
      </c>
      <c r="K126" t="inlineStr">
        <is>
          <t>ob</t>
        </is>
      </c>
      <c r="L126" t="inlineStr">
        <is>
          <t>ongoingtreatment</t>
        </is>
      </c>
      <c r="N126" s="4" t="n"/>
      <c r="R126" s="6">
        <f>IF(OR(Q126="",P126=""),"",TEXT(Q126-P126,"[h]:mm"))</f>
        <v/>
      </c>
      <c r="S126" s="6">
        <f>IF(B126="","",IF(Q126&lt;&gt;"",TEXT(Q126-B126,"[h]:mm"),IF(U126&lt;&gt;"",TEXT(U126-B126,"[h]:mm"),"")))</f>
        <v/>
      </c>
      <c r="T126" s="6">
        <f>IF(OR(O126="",B126=""),"",TEXT(O126-B126,"[h]:mm"))</f>
        <v/>
      </c>
    </row>
    <row r="127">
      <c r="A127" t="inlineStr">
        <is>
          <t>ED BU</t>
        </is>
      </c>
      <c r="B127" s="3" t="n">
        <v>45721.51527777778</v>
      </c>
      <c r="C127" t="inlineStr">
        <is>
          <t>Hasnah bin Omar</t>
        </is>
      </c>
      <c r="D127" t="inlineStr">
        <is>
          <t>Hasnah</t>
        </is>
      </c>
      <c r="E127" s="4" t="inlineStr">
        <is>
          <t>020818-13-2840</t>
        </is>
      </c>
      <c r="F127" t="inlineStr">
        <is>
          <t>MRN540058</t>
        </is>
      </c>
      <c r="G127" s="5" t="n">
        <v>23</v>
      </c>
      <c r="H127" t="inlineStr">
        <is>
          <t>Male</t>
        </is>
      </c>
      <c r="I127" t="inlineStr">
        <is>
          <t>gz</t>
        </is>
      </c>
      <c r="J127" t="inlineStr">
        <is>
          <t>bugz01</t>
        </is>
      </c>
      <c r="K127" t="inlineStr">
        <is>
          <t>gz</t>
        </is>
      </c>
      <c r="L127" t="inlineStr">
        <is>
          <t>ongoingtreatment</t>
        </is>
      </c>
      <c r="N127" s="4" t="inlineStr">
        <is>
          <t>48</t>
        </is>
      </c>
      <c r="O127" s="3" t="n">
        <v>45721.60902777778</v>
      </c>
      <c r="R127" s="6">
        <f>IF(OR(Q127="",P127=""),"",TEXT(Q127-P127,"[h]:mm"))</f>
        <v/>
      </c>
      <c r="S127" s="6">
        <f>IF(B127="","",IF(Q127&lt;&gt;"",TEXT(Q127-B127,"[h]:mm"),IF(U127&lt;&gt;"",TEXT(U127-B127,"[h]:mm"),"")))</f>
        <v/>
      </c>
      <c r="T127" s="6">
        <f>IF(OR(O127="",B127=""),"",TEXT(O127-B127,"[h]:mm"))</f>
        <v/>
      </c>
    </row>
    <row r="128">
      <c r="A128" t="inlineStr">
        <is>
          <t>ED BU</t>
        </is>
      </c>
      <c r="B128" s="3" t="n">
        <v>45721.51527777778</v>
      </c>
      <c r="C128" t="inlineStr">
        <is>
          <t>Hasnah binti Ismail</t>
        </is>
      </c>
      <c r="D128" t="inlineStr">
        <is>
          <t>Hasnah</t>
        </is>
      </c>
      <c r="E128" s="4" t="inlineStr">
        <is>
          <t>550121-07-4607</t>
        </is>
      </c>
      <c r="F128" t="inlineStr">
        <is>
          <t>MRN249684</t>
        </is>
      </c>
      <c r="G128" s="5" t="n">
        <v>70</v>
      </c>
      <c r="H128" t="inlineStr">
        <is>
          <t>Female</t>
        </is>
      </c>
      <c r="I128" t="inlineStr">
        <is>
          <t>gz</t>
        </is>
      </c>
      <c r="J128" t="inlineStr">
        <is>
          <t>bugz-waiting</t>
        </is>
      </c>
      <c r="K128" t="inlineStr">
        <is>
          <t>gz</t>
        </is>
      </c>
      <c r="L128" t="inlineStr">
        <is>
          <t>ongoingtreatment</t>
        </is>
      </c>
      <c r="N128" s="4" t="inlineStr">
        <is>
          <t>40</t>
        </is>
      </c>
      <c r="R128" s="6">
        <f>IF(OR(Q128="",P128=""),"",TEXT(Q128-P128,"[h]:mm"))</f>
        <v/>
      </c>
      <c r="S128" s="6">
        <f>IF(B128="","",IF(Q128&lt;&gt;"",TEXT(Q128-B128,"[h]:mm"),IF(U128&lt;&gt;"",TEXT(U128-B128,"[h]:mm"),"")))</f>
        <v/>
      </c>
      <c r="T128" s="6">
        <f>IF(OR(O128="",B128=""),"",TEXT(O128-B128,"[h]:mm"))</f>
        <v/>
      </c>
    </row>
    <row r="129">
      <c r="A129" t="inlineStr">
        <is>
          <t>ED WCC</t>
        </is>
      </c>
      <c r="B129" s="3" t="n">
        <v>45721.51597222222</v>
      </c>
      <c r="C129" t="inlineStr">
        <is>
          <t>Amirah binti Osman</t>
        </is>
      </c>
      <c r="D129" t="inlineStr">
        <is>
          <t>Amirah</t>
        </is>
      </c>
      <c r="E129" s="4" t="inlineStr">
        <is>
          <t>150709-06-0462</t>
        </is>
      </c>
      <c r="F129" t="inlineStr">
        <is>
          <t>MRN532642</t>
        </is>
      </c>
      <c r="G129" s="5" t="n">
        <v>10</v>
      </c>
      <c r="H129" t="inlineStr">
        <is>
          <t>Female</t>
        </is>
      </c>
      <c r="I129" t="inlineStr">
        <is>
          <t>gz</t>
        </is>
      </c>
      <c r="J129" t="inlineStr">
        <is>
          <t>wccgz-waiting</t>
        </is>
      </c>
      <c r="K129" t="inlineStr">
        <is>
          <t>gz</t>
        </is>
      </c>
      <c r="L129" t="inlineStr">
        <is>
          <t>ongoingtreatment</t>
        </is>
      </c>
      <c r="N129" s="4" t="inlineStr">
        <is>
          <t>46</t>
        </is>
      </c>
      <c r="R129" s="6">
        <f>IF(OR(Q129="",P129=""),"",TEXT(Q129-P129,"[h]:mm"))</f>
        <v/>
      </c>
      <c r="S129" s="6">
        <f>IF(B129="","",IF(Q129&lt;&gt;"",TEXT(Q129-B129,"[h]:mm"),IF(U129&lt;&gt;"",TEXT(U129-B129,"[h]:mm"),"")))</f>
        <v/>
      </c>
      <c r="T129" s="6">
        <f>IF(OR(O129="",B129=""),"",TEXT(O129-B129,"[h]:mm"))</f>
        <v/>
      </c>
    </row>
    <row r="130">
      <c r="A130" t="inlineStr">
        <is>
          <t>ED BU</t>
        </is>
      </c>
      <c r="B130" s="3" t="n">
        <v>45721.51666666667</v>
      </c>
      <c r="C130" t="inlineStr">
        <is>
          <t>Faizal binti Rahman</t>
        </is>
      </c>
      <c r="D130" t="inlineStr">
        <is>
          <t>Faizal</t>
        </is>
      </c>
      <c r="E130" s="4" t="inlineStr">
        <is>
          <t>410815-13-0100</t>
        </is>
      </c>
      <c r="F130" t="inlineStr">
        <is>
          <t>MRN618351</t>
        </is>
      </c>
      <c r="G130" s="5" t="n">
        <v>84</v>
      </c>
      <c r="H130" t="inlineStr">
        <is>
          <t>Female</t>
        </is>
      </c>
      <c r="I130" t="inlineStr">
        <is>
          <t>gz</t>
        </is>
      </c>
      <c r="J130" t="inlineStr">
        <is>
          <t>bugz-waiting</t>
        </is>
      </c>
      <c r="K130" t="inlineStr">
        <is>
          <t>gz</t>
        </is>
      </c>
      <c r="L130" t="inlineStr">
        <is>
          <t>ongoingtreatment</t>
        </is>
      </c>
      <c r="N130" s="4" t="inlineStr">
        <is>
          <t>21</t>
        </is>
      </c>
      <c r="R130" s="6">
        <f>IF(OR(Q130="",P130=""),"",TEXT(Q130-P130,"[h]:mm"))</f>
        <v/>
      </c>
      <c r="S130" s="6">
        <f>IF(B130="","",IF(Q130&lt;&gt;"",TEXT(Q130-B130,"[h]:mm"),IF(U130&lt;&gt;"",TEXT(U130-B130,"[h]:mm"),"")))</f>
        <v/>
      </c>
      <c r="T130" s="6">
        <f>IF(OR(O130="",B130=""),"",TEXT(O130-B130,"[h]:mm"))</f>
        <v/>
      </c>
    </row>
    <row r="131">
      <c r="A131" t="inlineStr">
        <is>
          <t>ED BU</t>
        </is>
      </c>
      <c r="B131" s="3" t="n">
        <v>45721.51736111111</v>
      </c>
      <c r="C131" t="inlineStr">
        <is>
          <t>Danial bin Osman</t>
        </is>
      </c>
      <c r="D131" t="inlineStr">
        <is>
          <t>Danial</t>
        </is>
      </c>
      <c r="E131" s="4" t="inlineStr">
        <is>
          <t>540806-02-2537</t>
        </is>
      </c>
      <c r="F131" t="inlineStr">
        <is>
          <t>MRN835829</t>
        </is>
      </c>
      <c r="G131" s="5" t="n">
        <v>71</v>
      </c>
      <c r="H131" t="inlineStr">
        <is>
          <t>Male</t>
        </is>
      </c>
      <c r="I131" t="inlineStr">
        <is>
          <t>yz</t>
        </is>
      </c>
      <c r="J131" t="inlineStr">
        <is>
          <t>buyz01</t>
        </is>
      </c>
      <c r="K131" t="inlineStr">
        <is>
          <t>yz</t>
        </is>
      </c>
      <c r="L131" t="inlineStr">
        <is>
          <t>admitted</t>
        </is>
      </c>
      <c r="M131" t="inlineStr">
        <is>
          <t>OMFS</t>
        </is>
      </c>
      <c r="N131" s="4" t="n"/>
      <c r="P131" s="3" t="n">
        <v>45721.61805555555</v>
      </c>
      <c r="Q131" s="3" t="n">
        <v>45721.625</v>
      </c>
      <c r="R131" s="6">
        <f>IF(OR(Q131="",P131=""),"",TEXT(Q131-P131,"[h]:mm"))</f>
        <v/>
      </c>
      <c r="S131" s="6">
        <f>IF(B131="","",IF(Q131&lt;&gt;"",TEXT(Q131-B131,"[h]:mm"),IF(U131&lt;&gt;"",TEXT(U131-B131,"[h]:mm"),"")))</f>
        <v/>
      </c>
      <c r="T131" s="6">
        <f>IF(OR(O131="",B131=""),"",TEXT(O131-B131,"[h]:mm"))</f>
        <v/>
      </c>
    </row>
    <row r="132">
      <c r="A132" t="inlineStr">
        <is>
          <t>ED WCC</t>
        </is>
      </c>
      <c r="B132" s="3" t="n">
        <v>45721.52083333334</v>
      </c>
      <c r="C132" t="inlineStr">
        <is>
          <t>Danial bin Rahman</t>
        </is>
      </c>
      <c r="D132" t="inlineStr">
        <is>
          <t>Danial</t>
        </is>
      </c>
      <c r="E132" s="4" t="inlineStr">
        <is>
          <t>160607-01-6808</t>
        </is>
      </c>
      <c r="F132" t="inlineStr">
        <is>
          <t>MRN518379</t>
        </is>
      </c>
      <c r="G132" s="5" t="n">
        <v>9</v>
      </c>
      <c r="H132" t="inlineStr">
        <is>
          <t>Male</t>
        </is>
      </c>
      <c r="I132" t="inlineStr">
        <is>
          <t>gz</t>
        </is>
      </c>
      <c r="J132" t="inlineStr">
        <is>
          <t>wccgz-waiting</t>
        </is>
      </c>
      <c r="K132" t="inlineStr">
        <is>
          <t>gz</t>
        </is>
      </c>
      <c r="L132" t="inlineStr">
        <is>
          <t>ongoingtreatment</t>
        </is>
      </c>
      <c r="N132" s="4" t="inlineStr">
        <is>
          <t>28</t>
        </is>
      </c>
      <c r="R132" s="6">
        <f>IF(OR(Q132="",P132=""),"",TEXT(Q132-P132,"[h]:mm"))</f>
        <v/>
      </c>
      <c r="S132" s="6">
        <f>IF(B132="","",IF(Q132&lt;&gt;"",TEXT(Q132-B132,"[h]:mm"),IF(U132&lt;&gt;"",TEXT(U132-B132,"[h]:mm"),"")))</f>
        <v/>
      </c>
      <c r="T132" s="6">
        <f>IF(OR(O132="",B132=""),"",TEXT(O132-B132,"[h]:mm"))</f>
        <v/>
      </c>
    </row>
    <row r="133">
      <c r="A133" t="inlineStr">
        <is>
          <t>ED WCC</t>
        </is>
      </c>
      <c r="B133" s="3" t="n">
        <v>45721.52152777778</v>
      </c>
      <c r="C133" t="inlineStr">
        <is>
          <t>Zainab binti Abdullah</t>
        </is>
      </c>
      <c r="D133" t="inlineStr">
        <is>
          <t>Zainab</t>
        </is>
      </c>
      <c r="E133" s="4" t="inlineStr">
        <is>
          <t>081020-14-5004</t>
        </is>
      </c>
      <c r="F133" t="inlineStr">
        <is>
          <t>MRN521491</t>
        </is>
      </c>
      <c r="G133" s="5" t="n">
        <v>17</v>
      </c>
      <c r="H133" t="inlineStr">
        <is>
          <t>Female</t>
        </is>
      </c>
      <c r="I133" t="inlineStr">
        <is>
          <t>ab</t>
        </is>
      </c>
      <c r="J133" t="inlineStr">
        <is>
          <t>wccab01</t>
        </is>
      </c>
      <c r="K133" t="inlineStr">
        <is>
          <t>ab</t>
        </is>
      </c>
      <c r="L133" t="inlineStr">
        <is>
          <t>preadmit</t>
        </is>
      </c>
      <c r="M133" t="inlineStr">
        <is>
          <t>Surgical</t>
        </is>
      </c>
      <c r="N133" s="4" t="n"/>
      <c r="P133" s="3" t="n">
        <v>45721.61805555555</v>
      </c>
      <c r="R133" s="6">
        <f>IF(OR(Q133="",P133=""),"",TEXT(Q133-P133,"[h]:mm"))</f>
        <v/>
      </c>
      <c r="S133" s="6">
        <f>IF(B133="","",IF(Q133&lt;&gt;"",TEXT(Q133-B133,"[h]:mm"),IF(U133&lt;&gt;"",TEXT(U133-B133,"[h]:mm"),"")))</f>
        <v/>
      </c>
      <c r="T133" s="6">
        <f>IF(OR(O133="",B133=""),"",TEXT(O133-B133,"[h]:mm"))</f>
        <v/>
      </c>
    </row>
    <row r="134">
      <c r="A134" t="inlineStr">
        <is>
          <t>ED BU</t>
        </is>
      </c>
      <c r="B134" s="3" t="n">
        <v>45721.52222222222</v>
      </c>
      <c r="C134" t="inlineStr">
        <is>
          <t>Zuraidah bin Ibrahim</t>
        </is>
      </c>
      <c r="D134" t="inlineStr">
        <is>
          <t>Zuraidah</t>
        </is>
      </c>
      <c r="E134" s="4" t="inlineStr">
        <is>
          <t>561018-10-2212</t>
        </is>
      </c>
      <c r="F134" t="inlineStr">
        <is>
          <t>MRN490041</t>
        </is>
      </c>
      <c r="G134" s="5" t="n">
        <v>69</v>
      </c>
      <c r="H134" t="inlineStr">
        <is>
          <t>Male</t>
        </is>
      </c>
      <c r="I134" t="inlineStr">
        <is>
          <t>gz</t>
        </is>
      </c>
      <c r="J134" t="inlineStr">
        <is>
          <t>bugz-waiting</t>
        </is>
      </c>
      <c r="K134" t="inlineStr">
        <is>
          <t>gz</t>
        </is>
      </c>
      <c r="L134" t="inlineStr">
        <is>
          <t>ongoingtreatment</t>
        </is>
      </c>
      <c r="N134" s="4" t="inlineStr">
        <is>
          <t>35</t>
        </is>
      </c>
      <c r="R134" s="6">
        <f>IF(OR(Q134="",P134=""),"",TEXT(Q134-P134,"[h]:mm"))</f>
        <v/>
      </c>
      <c r="S134" s="6">
        <f>IF(B134="","",IF(Q134&lt;&gt;"",TEXT(Q134-B134,"[h]:mm"),IF(U134&lt;&gt;"",TEXT(U134-B134,"[h]:mm"),"")))</f>
        <v/>
      </c>
      <c r="T134" s="6">
        <f>IF(OR(O134="",B134=""),"",TEXT(O134-B134,"[h]:mm"))</f>
        <v/>
      </c>
    </row>
    <row r="135">
      <c r="A135" t="inlineStr">
        <is>
          <t>ED BU</t>
        </is>
      </c>
      <c r="B135" s="3" t="n">
        <v>45721.525</v>
      </c>
      <c r="C135" t="inlineStr">
        <is>
          <t>Hasnah bin Hamid</t>
        </is>
      </c>
      <c r="D135" t="inlineStr">
        <is>
          <t>Hasnah</t>
        </is>
      </c>
      <c r="E135" s="4" t="inlineStr">
        <is>
          <t>620409-12-3000</t>
        </is>
      </c>
      <c r="F135" t="inlineStr">
        <is>
          <t>MRN231539</t>
        </is>
      </c>
      <c r="G135" s="5" t="n">
        <v>63</v>
      </c>
      <c r="H135" t="inlineStr">
        <is>
          <t>Male</t>
        </is>
      </c>
      <c r="I135" t="inlineStr">
        <is>
          <t>gz</t>
        </is>
      </c>
      <c r="J135" t="inlineStr">
        <is>
          <t>bugz-waiting</t>
        </is>
      </c>
      <c r="K135" t="inlineStr">
        <is>
          <t>gz</t>
        </is>
      </c>
      <c r="L135" t="inlineStr">
        <is>
          <t>ongoingtreatment</t>
        </is>
      </c>
      <c r="N135" s="4" t="inlineStr">
        <is>
          <t>24</t>
        </is>
      </c>
      <c r="R135" s="6">
        <f>IF(OR(Q135="",P135=""),"",TEXT(Q135-P135,"[h]:mm"))</f>
        <v/>
      </c>
      <c r="S135" s="6">
        <f>IF(B135="","",IF(Q135&lt;&gt;"",TEXT(Q135-B135,"[h]:mm"),IF(U135&lt;&gt;"",TEXT(U135-B135,"[h]:mm"),"")))</f>
        <v/>
      </c>
      <c r="T135" s="6">
        <f>IF(OR(O135="",B135=""),"",TEXT(O135-B135,"[h]:mm"))</f>
        <v/>
      </c>
    </row>
    <row r="136">
      <c r="A136" t="inlineStr">
        <is>
          <t>PAC WCC</t>
        </is>
      </c>
      <c r="B136" s="3" t="n">
        <v>45721.52569444444</v>
      </c>
      <c r="C136" t="inlineStr">
        <is>
          <t>Faizal binti Omar</t>
        </is>
      </c>
      <c r="D136" t="inlineStr">
        <is>
          <t>Faizal</t>
        </is>
      </c>
      <c r="E136" s="4" t="inlineStr">
        <is>
          <t>850622-12-8631</t>
        </is>
      </c>
      <c r="F136" t="inlineStr">
        <is>
          <t>MRN456863</t>
        </is>
      </c>
      <c r="G136" s="5" t="n">
        <v>40</v>
      </c>
      <c r="H136" t="inlineStr">
        <is>
          <t>Female</t>
        </is>
      </c>
      <c r="I136" t="inlineStr">
        <is>
          <t>pac</t>
        </is>
      </c>
      <c r="J136" t="inlineStr">
        <is>
          <t>wccpac03</t>
        </is>
      </c>
      <c r="K136" t="inlineStr">
        <is>
          <t>pac</t>
        </is>
      </c>
      <c r="L136" t="inlineStr">
        <is>
          <t>referred</t>
        </is>
      </c>
      <c r="M136" t="inlineStr">
        <is>
          <t>OMFS</t>
        </is>
      </c>
      <c r="N136" s="4" t="n"/>
      <c r="R136" s="6">
        <f>IF(OR(Q136="",P136=""),"",TEXT(Q136-P136,"[h]:mm"))</f>
        <v/>
      </c>
      <c r="S136" s="6">
        <f>IF(B136="","",IF(Q136&lt;&gt;"",TEXT(Q136-B136,"[h]:mm"),IF(U136&lt;&gt;"",TEXT(U136-B136,"[h]:mm"),"")))</f>
        <v/>
      </c>
      <c r="T136" s="6">
        <f>IF(OR(O136="",B136=""),"",TEXT(O136-B136,"[h]:mm"))</f>
        <v/>
      </c>
    </row>
    <row r="137">
      <c r="A137" t="inlineStr">
        <is>
          <t>ED WCC</t>
        </is>
      </c>
      <c r="B137" s="3" t="n">
        <v>45721.52708333333</v>
      </c>
      <c r="C137" t="inlineStr">
        <is>
          <t>Anis bin Hassan</t>
        </is>
      </c>
      <c r="D137" t="inlineStr">
        <is>
          <t>Anis</t>
        </is>
      </c>
      <c r="E137" s="4" t="inlineStr">
        <is>
          <t>220207-02-4748</t>
        </is>
      </c>
      <c r="F137" t="inlineStr">
        <is>
          <t>MRN300852</t>
        </is>
      </c>
      <c r="G137" s="5" t="n">
        <v>3</v>
      </c>
      <c r="H137" t="inlineStr">
        <is>
          <t>Male</t>
        </is>
      </c>
      <c r="I137" t="inlineStr">
        <is>
          <t>gz</t>
        </is>
      </c>
      <c r="J137" t="inlineStr">
        <is>
          <t>wccgz-waiting</t>
        </is>
      </c>
      <c r="K137" t="inlineStr">
        <is>
          <t>gz</t>
        </is>
      </c>
      <c r="L137" t="inlineStr">
        <is>
          <t>ongoingtreatment</t>
        </is>
      </c>
      <c r="N137" s="4" t="inlineStr">
        <is>
          <t>36</t>
        </is>
      </c>
      <c r="R137" s="6">
        <f>IF(OR(Q137="",P137=""),"",TEXT(Q137-P137,"[h]:mm"))</f>
        <v/>
      </c>
      <c r="S137" s="6">
        <f>IF(B137="","",IF(Q137&lt;&gt;"",TEXT(Q137-B137,"[h]:mm"),IF(U137&lt;&gt;"",TEXT(U137-B137,"[h]:mm"),"")))</f>
        <v/>
      </c>
      <c r="T137" s="6">
        <f>IF(OR(O137="",B137=""),"",TEXT(O137-B137,"[h]:mm"))</f>
        <v/>
      </c>
    </row>
    <row r="138">
      <c r="A138" t="inlineStr">
        <is>
          <t>ED BU</t>
        </is>
      </c>
      <c r="B138" s="3" t="n">
        <v>45721.52708333333</v>
      </c>
      <c r="C138" t="inlineStr">
        <is>
          <t>Rohani binti Omar</t>
        </is>
      </c>
      <c r="D138" t="inlineStr">
        <is>
          <t>Rohani</t>
        </is>
      </c>
      <c r="E138" s="4" t="inlineStr">
        <is>
          <t>921025-11-3357</t>
        </is>
      </c>
      <c r="F138" t="inlineStr">
        <is>
          <t>MRN223229</t>
        </is>
      </c>
      <c r="G138" s="5" t="n">
        <v>33</v>
      </c>
      <c r="H138" t="inlineStr">
        <is>
          <t>Female</t>
        </is>
      </c>
      <c r="I138" t="inlineStr">
        <is>
          <t>rz</t>
        </is>
      </c>
      <c r="J138" t="inlineStr">
        <is>
          <t>burz04</t>
        </is>
      </c>
      <c r="K138" t="inlineStr">
        <is>
          <t>rz</t>
        </is>
      </c>
      <c r="L138" t="inlineStr">
        <is>
          <t>referred</t>
        </is>
      </c>
      <c r="M138" t="inlineStr">
        <is>
          <t>Psychiatry</t>
        </is>
      </c>
      <c r="N138" s="4" t="n"/>
      <c r="R138" s="6">
        <f>IF(OR(Q138="",P138=""),"",TEXT(Q138-P138,"[h]:mm"))</f>
        <v/>
      </c>
      <c r="S138" s="6">
        <f>IF(B138="","",IF(Q138&lt;&gt;"",TEXT(Q138-B138,"[h]:mm"),IF(U138&lt;&gt;"",TEXT(U138-B138,"[h]:mm"),"")))</f>
        <v/>
      </c>
      <c r="T138" s="6">
        <f>IF(OR(O138="",B138=""),"",TEXT(O138-B138,"[h]:mm"))</f>
        <v/>
      </c>
    </row>
    <row r="139">
      <c r="A139" t="inlineStr">
        <is>
          <t>ED BU</t>
        </is>
      </c>
      <c r="B139" s="3" t="n">
        <v>45721.53333333333</v>
      </c>
      <c r="C139" t="inlineStr">
        <is>
          <t>Rohani binti Zakaria</t>
        </is>
      </c>
      <c r="D139" t="inlineStr">
        <is>
          <t>Rohani</t>
        </is>
      </c>
      <c r="E139" s="4" t="inlineStr">
        <is>
          <t>050112-03-3662</t>
        </is>
      </c>
      <c r="F139" t="inlineStr">
        <is>
          <t>MRN322078</t>
        </is>
      </c>
      <c r="G139" s="5" t="n">
        <v>20</v>
      </c>
      <c r="H139" t="inlineStr">
        <is>
          <t>Female</t>
        </is>
      </c>
      <c r="I139" t="inlineStr">
        <is>
          <t>yz</t>
        </is>
      </c>
      <c r="J139" t="inlineStr">
        <is>
          <t>buyz03</t>
        </is>
      </c>
      <c r="K139" t="inlineStr">
        <is>
          <t>yz</t>
        </is>
      </c>
      <c r="L139" t="inlineStr">
        <is>
          <t>ongoingtreatment</t>
        </is>
      </c>
      <c r="N139" s="4" t="n"/>
      <c r="R139" s="6">
        <f>IF(OR(Q139="",P139=""),"",TEXT(Q139-P139,"[h]:mm"))</f>
        <v/>
      </c>
      <c r="S139" s="6">
        <f>IF(B139="","",IF(Q139&lt;&gt;"",TEXT(Q139-B139,"[h]:mm"),IF(U139&lt;&gt;"",TEXT(U139-B139,"[h]:mm"),"")))</f>
        <v/>
      </c>
      <c r="T139" s="6">
        <f>IF(OR(O139="",B139=""),"",TEXT(O139-B139,"[h]:mm"))</f>
        <v/>
      </c>
    </row>
    <row r="140">
      <c r="A140" t="inlineStr">
        <is>
          <t>PAC WCC</t>
        </is>
      </c>
      <c r="B140" s="3" t="n">
        <v>45721.53402777778</v>
      </c>
      <c r="C140" t="inlineStr">
        <is>
          <t>Izzuddin binti Mohamed</t>
        </is>
      </c>
      <c r="D140" t="inlineStr">
        <is>
          <t>Izzuddin</t>
        </is>
      </c>
      <c r="E140" s="4" t="inlineStr">
        <is>
          <t>920328-02-3695</t>
        </is>
      </c>
      <c r="F140" t="inlineStr">
        <is>
          <t>MRN871092</t>
        </is>
      </c>
      <c r="G140" s="5" t="n">
        <v>33</v>
      </c>
      <c r="H140" t="inlineStr">
        <is>
          <t>Female</t>
        </is>
      </c>
      <c r="I140" t="inlineStr">
        <is>
          <t>pac</t>
        </is>
      </c>
      <c r="J140" t="inlineStr">
        <is>
          <t>wccpac09crisis</t>
        </is>
      </c>
      <c r="K140" t="inlineStr">
        <is>
          <t>pac</t>
        </is>
      </c>
      <c r="L140" t="inlineStr">
        <is>
          <t>preadmit</t>
        </is>
      </c>
      <c r="M140" t="inlineStr">
        <is>
          <t>Paediatric Dental</t>
        </is>
      </c>
      <c r="N140" s="4" t="n"/>
      <c r="P140" s="3" t="n">
        <v>45721.61805555555</v>
      </c>
      <c r="R140" s="6">
        <f>IF(OR(Q140="",P140=""),"",TEXT(Q140-P140,"[h]:mm"))</f>
        <v/>
      </c>
      <c r="S140" s="6">
        <f>IF(B140="","",IF(Q140&lt;&gt;"",TEXT(Q140-B140,"[h]:mm"),IF(U140&lt;&gt;"",TEXT(U140-B140,"[h]:mm"),"")))</f>
        <v/>
      </c>
      <c r="T140" s="6">
        <f>IF(OR(O140="",B140=""),"",TEXT(O140-B140,"[h]:mm"))</f>
        <v/>
      </c>
    </row>
    <row r="141">
      <c r="A141" t="inlineStr">
        <is>
          <t>ED BU</t>
        </is>
      </c>
      <c r="B141" s="3" t="n">
        <v>45721.53472222222</v>
      </c>
      <c r="C141" t="inlineStr">
        <is>
          <t>Mohamed binti Osman</t>
        </is>
      </c>
      <c r="D141" t="inlineStr">
        <is>
          <t>Mohamed</t>
        </is>
      </c>
      <c r="E141" s="4" t="inlineStr">
        <is>
          <t>910127-09-1724</t>
        </is>
      </c>
      <c r="F141" t="inlineStr">
        <is>
          <t>MRN583722</t>
        </is>
      </c>
      <c r="G141" s="5" t="n">
        <v>34</v>
      </c>
      <c r="H141" t="inlineStr">
        <is>
          <t>Female</t>
        </is>
      </c>
      <c r="I141" t="inlineStr">
        <is>
          <t>gz</t>
        </is>
      </c>
      <c r="J141" t="inlineStr">
        <is>
          <t>bugz-waiting</t>
        </is>
      </c>
      <c r="K141" t="inlineStr">
        <is>
          <t>gz</t>
        </is>
      </c>
      <c r="L141" t="inlineStr">
        <is>
          <t>ongoingtreatment</t>
        </is>
      </c>
      <c r="N141" s="4" t="inlineStr">
        <is>
          <t>13</t>
        </is>
      </c>
      <c r="R141" s="6">
        <f>IF(OR(Q141="",P141=""),"",TEXT(Q141-P141,"[h]:mm"))</f>
        <v/>
      </c>
      <c r="S141" s="6">
        <f>IF(B141="","",IF(Q141&lt;&gt;"",TEXT(Q141-B141,"[h]:mm"),IF(U141&lt;&gt;"",TEXT(U141-B141,"[h]:mm"),"")))</f>
        <v/>
      </c>
      <c r="T141" s="6">
        <f>IF(OR(O141="",B141=""),"",TEXT(O141-B141,"[h]:mm"))</f>
        <v/>
      </c>
    </row>
    <row r="142">
      <c r="A142" t="inlineStr">
        <is>
          <t>ED BU</t>
        </is>
      </c>
      <c r="B142" s="3" t="n">
        <v>45721.53888888889</v>
      </c>
      <c r="C142" t="inlineStr">
        <is>
          <t>Nizam bin Omar</t>
        </is>
      </c>
      <c r="D142" t="inlineStr">
        <is>
          <t>Nizam</t>
        </is>
      </c>
      <c r="E142" s="4" t="inlineStr">
        <is>
          <t>910219-07-2338</t>
        </is>
      </c>
      <c r="F142" t="inlineStr">
        <is>
          <t>MRN323408</t>
        </is>
      </c>
      <c r="G142" s="5" t="n">
        <v>34</v>
      </c>
      <c r="H142" t="inlineStr">
        <is>
          <t>Male</t>
        </is>
      </c>
      <c r="I142" t="inlineStr">
        <is>
          <t>gz</t>
        </is>
      </c>
      <c r="J142" t="inlineStr">
        <is>
          <t>bugz-waiting</t>
        </is>
      </c>
      <c r="K142" t="inlineStr">
        <is>
          <t>gz</t>
        </is>
      </c>
      <c r="L142" t="inlineStr">
        <is>
          <t>ongoingtreatment</t>
        </is>
      </c>
      <c r="N142" s="4" t="inlineStr">
        <is>
          <t>32</t>
        </is>
      </c>
      <c r="R142" s="6">
        <f>IF(OR(Q142="",P142=""),"",TEXT(Q142-P142,"[h]:mm"))</f>
        <v/>
      </c>
      <c r="S142" s="6">
        <f>IF(B142="","",IF(Q142&lt;&gt;"",TEXT(Q142-B142,"[h]:mm"),IF(U142&lt;&gt;"",TEXT(U142-B142,"[h]:mm"),"")))</f>
        <v/>
      </c>
      <c r="T142" s="6">
        <f>IF(OR(O142="",B142=""),"",TEXT(O142-B142,"[h]:mm"))</f>
        <v/>
      </c>
    </row>
    <row r="143">
      <c r="A143" t="inlineStr">
        <is>
          <t>ED WCC</t>
        </is>
      </c>
      <c r="B143" s="3" t="n">
        <v>45721.54027777778</v>
      </c>
      <c r="C143" t="inlineStr">
        <is>
          <t>Zulkifli bin Hamid</t>
        </is>
      </c>
      <c r="D143" t="inlineStr">
        <is>
          <t>Zulkifli</t>
        </is>
      </c>
      <c r="E143" s="4" t="inlineStr">
        <is>
          <t>171018-04-1377</t>
        </is>
      </c>
      <c r="F143" t="inlineStr">
        <is>
          <t>MRN267145</t>
        </is>
      </c>
      <c r="G143" s="5" t="n">
        <v>8</v>
      </c>
      <c r="H143" t="inlineStr">
        <is>
          <t>Male</t>
        </is>
      </c>
      <c r="I143" t="inlineStr">
        <is>
          <t>gz</t>
        </is>
      </c>
      <c r="J143" t="inlineStr">
        <is>
          <t>wccgz-waiting</t>
        </is>
      </c>
      <c r="K143" t="inlineStr">
        <is>
          <t>gz</t>
        </is>
      </c>
      <c r="L143" t="inlineStr">
        <is>
          <t>ongoingtreatment</t>
        </is>
      </c>
      <c r="N143" s="4" t="inlineStr">
        <is>
          <t>48</t>
        </is>
      </c>
      <c r="R143" s="6">
        <f>IF(OR(Q143="",P143=""),"",TEXT(Q143-P143,"[h]:mm"))</f>
        <v/>
      </c>
      <c r="S143" s="6">
        <f>IF(B143="","",IF(Q143&lt;&gt;"",TEXT(Q143-B143,"[h]:mm"),IF(U143&lt;&gt;"",TEXT(U143-B143,"[h]:mm"),"")))</f>
        <v/>
      </c>
      <c r="T143" s="6">
        <f>IF(OR(O143="",B143=""),"",TEXT(O143-B143,"[h]:mm"))</f>
        <v/>
      </c>
    </row>
    <row r="144">
      <c r="A144" t="inlineStr">
        <is>
          <t>ED WCC</t>
        </is>
      </c>
      <c r="B144" s="3" t="n">
        <v>45721.54097222222</v>
      </c>
      <c r="C144" t="inlineStr">
        <is>
          <t>Zainab binti Ahmad</t>
        </is>
      </c>
      <c r="D144" t="inlineStr">
        <is>
          <t>Zainab</t>
        </is>
      </c>
      <c r="E144" s="4" t="inlineStr">
        <is>
          <t>101115-12-0355</t>
        </is>
      </c>
      <c r="F144" t="inlineStr">
        <is>
          <t>MRN965218</t>
        </is>
      </c>
      <c r="G144" s="5" t="n">
        <v>15</v>
      </c>
      <c r="H144" t="inlineStr">
        <is>
          <t>Female</t>
        </is>
      </c>
      <c r="I144" t="inlineStr">
        <is>
          <t>yz</t>
        </is>
      </c>
      <c r="J144" t="inlineStr">
        <is>
          <t>wccyz04</t>
        </is>
      </c>
      <c r="K144" t="inlineStr">
        <is>
          <t>yz</t>
        </is>
      </c>
      <c r="L144" t="inlineStr">
        <is>
          <t>discharge</t>
        </is>
      </c>
      <c r="N144" s="4" t="n"/>
      <c r="R144" s="6">
        <f>IF(OR(Q144="",P144=""),"",TEXT(Q144-P144,"[h]:mm"))</f>
        <v/>
      </c>
      <c r="S144" s="6">
        <f>IF(B144="","",IF(Q144&lt;&gt;"",TEXT(Q144-B144,"[h]:mm"),IF(U144&lt;&gt;"",TEXT(U144-B144,"[h]:mm"),"")))</f>
        <v/>
      </c>
      <c r="T144" s="6">
        <f>IF(OR(O144="",B144=""),"",TEXT(O144-B144,"[h]:mm"))</f>
        <v/>
      </c>
      <c r="U144" s="3" t="n">
        <v>45721.61527777778</v>
      </c>
    </row>
    <row r="145">
      <c r="A145" t="inlineStr">
        <is>
          <t>PAC WCC</t>
        </is>
      </c>
      <c r="B145" s="3" t="n">
        <v>45721.54236111111</v>
      </c>
      <c r="C145" t="inlineStr">
        <is>
          <t>Shahril binti Ibrahim</t>
        </is>
      </c>
      <c r="D145" t="inlineStr">
        <is>
          <t>Shahril</t>
        </is>
      </c>
      <c r="E145" s="4" t="inlineStr">
        <is>
          <t>920422-01-2595</t>
        </is>
      </c>
      <c r="F145" t="inlineStr">
        <is>
          <t>MRN527683</t>
        </is>
      </c>
      <c r="G145" s="5" t="n">
        <v>33</v>
      </c>
      <c r="H145" t="inlineStr">
        <is>
          <t>Female</t>
        </is>
      </c>
      <c r="I145" t="inlineStr">
        <is>
          <t>pac</t>
        </is>
      </c>
      <c r="J145" t="inlineStr">
        <is>
          <t>wccpac11crisis</t>
        </is>
      </c>
      <c r="K145" t="inlineStr">
        <is>
          <t>pac</t>
        </is>
      </c>
      <c r="L145" t="inlineStr">
        <is>
          <t>ongoingtreatment</t>
        </is>
      </c>
      <c r="N145" s="4" t="n"/>
      <c r="R145" s="6">
        <f>IF(OR(Q145="",P145=""),"",TEXT(Q145-P145,"[h]:mm"))</f>
        <v/>
      </c>
      <c r="S145" s="6">
        <f>IF(B145="","",IF(Q145&lt;&gt;"",TEXT(Q145-B145,"[h]:mm"),IF(U145&lt;&gt;"",TEXT(U145-B145,"[h]:mm"),"")))</f>
        <v/>
      </c>
      <c r="T145" s="6">
        <f>IF(OR(O145="",B145=""),"",TEXT(O145-B145,"[h]:mm"))</f>
        <v/>
      </c>
    </row>
    <row r="146">
      <c r="A146" t="inlineStr">
        <is>
          <t>ED BU</t>
        </is>
      </c>
      <c r="B146" s="3" t="n">
        <v>45721.54375</v>
      </c>
      <c r="C146" t="inlineStr">
        <is>
          <t>Helmi bin Ibrahim</t>
        </is>
      </c>
      <c r="D146" t="inlineStr">
        <is>
          <t>Helmi</t>
        </is>
      </c>
      <c r="E146" s="4" t="inlineStr">
        <is>
          <t>821114-12-0348</t>
        </is>
      </c>
      <c r="F146" t="inlineStr">
        <is>
          <t>MRN528344</t>
        </is>
      </c>
      <c r="G146" s="5" t="n">
        <v>43</v>
      </c>
      <c r="H146" t="inlineStr">
        <is>
          <t>Male</t>
        </is>
      </c>
      <c r="I146" t="inlineStr">
        <is>
          <t>gz</t>
        </is>
      </c>
      <c r="J146" t="inlineStr">
        <is>
          <t>bugz-waiting</t>
        </is>
      </c>
      <c r="K146" t="inlineStr">
        <is>
          <t>gz</t>
        </is>
      </c>
      <c r="L146" t="inlineStr">
        <is>
          <t>ongoingtreatment</t>
        </is>
      </c>
      <c r="N146" s="4" t="inlineStr">
        <is>
          <t>37</t>
        </is>
      </c>
      <c r="R146" s="6">
        <f>IF(OR(Q146="",P146=""),"",TEXT(Q146-P146,"[h]:mm"))</f>
        <v/>
      </c>
      <c r="S146" s="6">
        <f>IF(B146="","",IF(Q146&lt;&gt;"",TEXT(Q146-B146,"[h]:mm"),IF(U146&lt;&gt;"",TEXT(U146-B146,"[h]:mm"),"")))</f>
        <v/>
      </c>
      <c r="T146" s="6">
        <f>IF(OR(O146="",B146=""),"",TEXT(O146-B146,"[h]:mm"))</f>
        <v/>
      </c>
    </row>
    <row r="147">
      <c r="A147" t="inlineStr">
        <is>
          <t>PAC WCC</t>
        </is>
      </c>
      <c r="B147" s="3" t="n">
        <v>45721.54444444444</v>
      </c>
      <c r="C147" t="inlineStr">
        <is>
          <t>Farah binti Rahman</t>
        </is>
      </c>
      <c r="D147" t="inlineStr">
        <is>
          <t>Farah</t>
        </is>
      </c>
      <c r="E147" s="4" t="inlineStr">
        <is>
          <t>931114-10-6576</t>
        </is>
      </c>
      <c r="F147" t="inlineStr">
        <is>
          <t>MRN738386</t>
        </is>
      </c>
      <c r="G147" s="5" t="n">
        <v>32</v>
      </c>
      <c r="H147" t="inlineStr">
        <is>
          <t>Female</t>
        </is>
      </c>
      <c r="I147" t="inlineStr">
        <is>
          <t>pac</t>
        </is>
      </c>
      <c r="J147" t="inlineStr">
        <is>
          <t>wccpac14crisis</t>
        </is>
      </c>
      <c r="K147" t="inlineStr">
        <is>
          <t>pac</t>
        </is>
      </c>
      <c r="L147" t="inlineStr">
        <is>
          <t>referred</t>
        </is>
      </c>
      <c r="M147" t="inlineStr">
        <is>
          <t>Orthopedic</t>
        </is>
      </c>
      <c r="N147" s="4" t="n"/>
      <c r="R147" s="6">
        <f>IF(OR(Q147="",P147=""),"",TEXT(Q147-P147,"[h]:mm"))</f>
        <v/>
      </c>
      <c r="S147" s="6">
        <f>IF(B147="","",IF(Q147&lt;&gt;"",TEXT(Q147-B147,"[h]:mm"),IF(U147&lt;&gt;"",TEXT(U147-B147,"[h]:mm"),"")))</f>
        <v/>
      </c>
      <c r="T147" s="6">
        <f>IF(OR(O147="",B147=""),"",TEXT(O147-B147,"[h]:mm"))</f>
        <v/>
      </c>
    </row>
    <row r="148">
      <c r="A148" t="inlineStr">
        <is>
          <t>ED WCC</t>
        </is>
      </c>
      <c r="B148" s="3" t="n">
        <v>45721.54513888889</v>
      </c>
      <c r="C148" t="inlineStr">
        <is>
          <t>Farah bin Hamid</t>
        </is>
      </c>
      <c r="D148" t="inlineStr">
        <is>
          <t>Farah</t>
        </is>
      </c>
      <c r="E148" s="4" t="inlineStr">
        <is>
          <t>201008-06-1008</t>
        </is>
      </c>
      <c r="F148" t="inlineStr">
        <is>
          <t>MRN306156</t>
        </is>
      </c>
      <c r="G148" s="5" t="n">
        <v>5</v>
      </c>
      <c r="H148" t="inlineStr">
        <is>
          <t>Male</t>
        </is>
      </c>
      <c r="I148" t="inlineStr">
        <is>
          <t>rz</t>
        </is>
      </c>
      <c r="J148" t="inlineStr">
        <is>
          <t>wccrz08crisis</t>
        </is>
      </c>
      <c r="K148" t="inlineStr">
        <is>
          <t>rz</t>
        </is>
      </c>
      <c r="L148" t="inlineStr">
        <is>
          <t>referred</t>
        </is>
      </c>
      <c r="M148" t="inlineStr">
        <is>
          <t>Psychiatry</t>
        </is>
      </c>
      <c r="N148" s="4" t="n"/>
      <c r="R148" s="6">
        <f>IF(OR(Q148="",P148=""),"",TEXT(Q148-P148,"[h]:mm"))</f>
        <v/>
      </c>
      <c r="S148" s="6">
        <f>IF(B148="","",IF(Q148&lt;&gt;"",TEXT(Q148-B148,"[h]:mm"),IF(U148&lt;&gt;"",TEXT(U148-B148,"[h]:mm"),"")))</f>
        <v/>
      </c>
      <c r="T148" s="6">
        <f>IF(OR(O148="",B148=""),"",TEXT(O148-B148,"[h]:mm"))</f>
        <v/>
      </c>
    </row>
    <row r="149">
      <c r="A149" t="inlineStr">
        <is>
          <t>ED BU</t>
        </is>
      </c>
      <c r="B149" s="3" t="n">
        <v>45721.54513888889</v>
      </c>
      <c r="C149" t="inlineStr">
        <is>
          <t>Norliza binti Salleh</t>
        </is>
      </c>
      <c r="D149" t="inlineStr">
        <is>
          <t>Norliza</t>
        </is>
      </c>
      <c r="E149" s="4" t="inlineStr">
        <is>
          <t>630809-05-2807</t>
        </is>
      </c>
      <c r="F149" t="inlineStr">
        <is>
          <t>MRN939190</t>
        </is>
      </c>
      <c r="G149" s="5" t="n">
        <v>62</v>
      </c>
      <c r="H149" t="inlineStr">
        <is>
          <t>Female</t>
        </is>
      </c>
      <c r="I149" t="inlineStr">
        <is>
          <t>gz</t>
        </is>
      </c>
      <c r="J149" t="inlineStr">
        <is>
          <t>bugz-waiting</t>
        </is>
      </c>
      <c r="K149" t="inlineStr">
        <is>
          <t>gz</t>
        </is>
      </c>
      <c r="L149" t="inlineStr">
        <is>
          <t>ongoingtreatment</t>
        </is>
      </c>
      <c r="N149" s="4" t="inlineStr">
        <is>
          <t>8</t>
        </is>
      </c>
      <c r="R149" s="6">
        <f>IF(OR(Q149="",P149=""),"",TEXT(Q149-P149,"[h]:mm"))</f>
        <v/>
      </c>
      <c r="S149" s="6">
        <f>IF(B149="","",IF(Q149&lt;&gt;"",TEXT(Q149-B149,"[h]:mm"),IF(U149&lt;&gt;"",TEXT(U149-B149,"[h]:mm"),"")))</f>
        <v/>
      </c>
      <c r="T149" s="6">
        <f>IF(OR(O149="",B149=""),"",TEXT(O149-B149,"[h]:mm"))</f>
        <v/>
      </c>
    </row>
    <row r="150">
      <c r="A150" t="inlineStr">
        <is>
          <t>ED WCC</t>
        </is>
      </c>
      <c r="B150" s="3" t="n">
        <v>45721.54583333333</v>
      </c>
      <c r="C150" t="inlineStr">
        <is>
          <t>Siti binti Ibrahim</t>
        </is>
      </c>
      <c r="D150" t="inlineStr">
        <is>
          <t>Siti</t>
        </is>
      </c>
      <c r="E150" s="4" t="inlineStr">
        <is>
          <t>090318-08-2650</t>
        </is>
      </c>
      <c r="F150" t="inlineStr">
        <is>
          <t>MRN706994</t>
        </is>
      </c>
      <c r="G150" s="5" t="n">
        <v>16</v>
      </c>
      <c r="H150" t="inlineStr">
        <is>
          <t>Female</t>
        </is>
      </c>
      <c r="I150" t="inlineStr">
        <is>
          <t>gz</t>
        </is>
      </c>
      <c r="J150" t="inlineStr">
        <is>
          <t>wccgz-waiting</t>
        </is>
      </c>
      <c r="K150" t="inlineStr">
        <is>
          <t>gz</t>
        </is>
      </c>
      <c r="L150" t="inlineStr">
        <is>
          <t>ongoingtreatment</t>
        </is>
      </c>
      <c r="N150" s="4" t="inlineStr">
        <is>
          <t>15</t>
        </is>
      </c>
      <c r="R150" s="6">
        <f>IF(OR(Q150="",P150=""),"",TEXT(Q150-P150,"[h]:mm"))</f>
        <v/>
      </c>
      <c r="S150" s="6">
        <f>IF(B150="","",IF(Q150&lt;&gt;"",TEXT(Q150-B150,"[h]:mm"),IF(U150&lt;&gt;"",TEXT(U150-B150,"[h]:mm"),"")))</f>
        <v/>
      </c>
      <c r="T150" s="6">
        <f>IF(OR(O150="",B150=""),"",TEXT(O150-B150,"[h]:mm"))</f>
        <v/>
      </c>
    </row>
    <row r="151">
      <c r="A151" t="inlineStr">
        <is>
          <t>ED BU</t>
        </is>
      </c>
      <c r="B151" s="3" t="n">
        <v>45721.55138888889</v>
      </c>
      <c r="C151" t="inlineStr">
        <is>
          <t>Hamizan binti Salleh</t>
        </is>
      </c>
      <c r="D151" t="inlineStr">
        <is>
          <t>Hamizan</t>
        </is>
      </c>
      <c r="E151" s="4" t="inlineStr">
        <is>
          <t>820504-05-7472</t>
        </is>
      </c>
      <c r="F151" t="inlineStr">
        <is>
          <t>MRN367631</t>
        </is>
      </c>
      <c r="G151" s="5" t="n">
        <v>43</v>
      </c>
      <c r="H151" t="inlineStr">
        <is>
          <t>Female</t>
        </is>
      </c>
      <c r="I151" t="inlineStr">
        <is>
          <t>yz</t>
        </is>
      </c>
      <c r="J151" t="inlineStr">
        <is>
          <t>buyz27crisis</t>
        </is>
      </c>
      <c r="K151" t="inlineStr">
        <is>
          <t>yz</t>
        </is>
      </c>
      <c r="L151" t="inlineStr">
        <is>
          <t>ongoingtreatment</t>
        </is>
      </c>
      <c r="N151" s="4" t="n"/>
      <c r="R151" s="6">
        <f>IF(OR(Q151="",P151=""),"",TEXT(Q151-P151,"[h]:mm"))</f>
        <v/>
      </c>
      <c r="S151" s="6">
        <f>IF(B151="","",IF(Q151&lt;&gt;"",TEXT(Q151-B151,"[h]:mm"),IF(U151&lt;&gt;"",TEXT(U151-B151,"[h]:mm"),"")))</f>
        <v/>
      </c>
      <c r="T151" s="6">
        <f>IF(OR(O151="",B151=""),"",TEXT(O151-B151,"[h]:mm"))</f>
        <v/>
      </c>
    </row>
    <row r="152">
      <c r="A152" t="inlineStr">
        <is>
          <t>ED BU</t>
        </is>
      </c>
      <c r="B152" s="3" t="n">
        <v>45721.55486111111</v>
      </c>
      <c r="C152" t="inlineStr">
        <is>
          <t>Anis binti Ismail</t>
        </is>
      </c>
      <c r="D152" t="inlineStr">
        <is>
          <t>Anis</t>
        </is>
      </c>
      <c r="E152" s="4" t="inlineStr">
        <is>
          <t>050902-08-2089</t>
        </is>
      </c>
      <c r="F152" t="inlineStr">
        <is>
          <t>MRN502130</t>
        </is>
      </c>
      <c r="G152" s="5" t="n">
        <v>20</v>
      </c>
      <c r="H152" t="inlineStr">
        <is>
          <t>Female</t>
        </is>
      </c>
      <c r="I152" t="inlineStr">
        <is>
          <t>yz</t>
        </is>
      </c>
      <c r="J152" t="inlineStr">
        <is>
          <t>buyz09</t>
        </is>
      </c>
      <c r="K152" t="inlineStr">
        <is>
          <t>yz</t>
        </is>
      </c>
      <c r="L152" t="inlineStr">
        <is>
          <t>ongoingtreatment</t>
        </is>
      </c>
      <c r="N152" s="4" t="n"/>
      <c r="R152" s="6">
        <f>IF(OR(Q152="",P152=""),"",TEXT(Q152-P152,"[h]:mm"))</f>
        <v/>
      </c>
      <c r="S152" s="6">
        <f>IF(B152="","",IF(Q152&lt;&gt;"",TEXT(Q152-B152,"[h]:mm"),IF(U152&lt;&gt;"",TEXT(U152-B152,"[h]:mm"),"")))</f>
        <v/>
      </c>
      <c r="T152" s="6">
        <f>IF(OR(O152="",B152=""),"",TEXT(O152-B152,"[h]:mm"))</f>
        <v/>
      </c>
    </row>
    <row r="153">
      <c r="A153" t="inlineStr">
        <is>
          <t>ED WCC</t>
        </is>
      </c>
      <c r="B153" s="3" t="n">
        <v>45721.55763888889</v>
      </c>
      <c r="C153" t="inlineStr">
        <is>
          <t>Farah bin Yusof</t>
        </is>
      </c>
      <c r="D153" t="inlineStr">
        <is>
          <t>Farah</t>
        </is>
      </c>
      <c r="E153" s="4" t="inlineStr">
        <is>
          <t>200528-01-6856</t>
        </is>
      </c>
      <c r="F153" t="inlineStr">
        <is>
          <t>MRN558849</t>
        </is>
      </c>
      <c r="G153" s="5" t="n">
        <v>5</v>
      </c>
      <c r="H153" t="inlineStr">
        <is>
          <t>Male</t>
        </is>
      </c>
      <c r="I153" t="inlineStr">
        <is>
          <t>gz</t>
        </is>
      </c>
      <c r="J153" t="inlineStr">
        <is>
          <t>wccgz-waiting</t>
        </is>
      </c>
      <c r="K153" t="inlineStr">
        <is>
          <t>gz</t>
        </is>
      </c>
      <c r="L153" t="inlineStr">
        <is>
          <t>ongoingtreatment</t>
        </is>
      </c>
      <c r="N153" s="4" t="inlineStr">
        <is>
          <t>30</t>
        </is>
      </c>
      <c r="R153" s="6">
        <f>IF(OR(Q153="",P153=""),"",TEXT(Q153-P153,"[h]:mm"))</f>
        <v/>
      </c>
      <c r="S153" s="6">
        <f>IF(B153="","",IF(Q153&lt;&gt;"",TEXT(Q153-B153,"[h]:mm"),IF(U153&lt;&gt;"",TEXT(U153-B153,"[h]:mm"),"")))</f>
        <v/>
      </c>
      <c r="T153" s="6">
        <f>IF(OR(O153="",B153=""),"",TEXT(O153-B153,"[h]:mm"))</f>
        <v/>
      </c>
    </row>
    <row r="154">
      <c r="A154" t="inlineStr">
        <is>
          <t>ED BU</t>
        </is>
      </c>
      <c r="B154" s="3" t="n">
        <v>45721.55833333333</v>
      </c>
      <c r="C154" t="inlineStr">
        <is>
          <t>Norliza binti Zakaria</t>
        </is>
      </c>
      <c r="D154" t="inlineStr">
        <is>
          <t>Norliza</t>
        </is>
      </c>
      <c r="E154" s="4" t="inlineStr">
        <is>
          <t>771104-14-7992</t>
        </is>
      </c>
      <c r="F154" t="inlineStr">
        <is>
          <t>MRN559716</t>
        </is>
      </c>
      <c r="G154" s="5" t="n">
        <v>48</v>
      </c>
      <c r="H154" t="inlineStr">
        <is>
          <t>Female</t>
        </is>
      </c>
      <c r="I154" t="inlineStr">
        <is>
          <t>yz</t>
        </is>
      </c>
      <c r="J154" t="inlineStr">
        <is>
          <t>buyz37crisis</t>
        </is>
      </c>
      <c r="K154" t="inlineStr">
        <is>
          <t>yz</t>
        </is>
      </c>
      <c r="L154" t="inlineStr">
        <is>
          <t>ongoingtreatment</t>
        </is>
      </c>
      <c r="N154" s="4" t="n"/>
      <c r="R154" s="6">
        <f>IF(OR(Q154="",P154=""),"",TEXT(Q154-P154,"[h]:mm"))</f>
        <v/>
      </c>
      <c r="S154" s="6">
        <f>IF(B154="","",IF(Q154&lt;&gt;"",TEXT(Q154-B154,"[h]:mm"),IF(U154&lt;&gt;"",TEXT(U154-B154,"[h]:mm"),"")))</f>
        <v/>
      </c>
      <c r="T154" s="6">
        <f>IF(OR(O154="",B154=""),"",TEXT(O154-B154,"[h]:mm"))</f>
        <v/>
      </c>
    </row>
    <row r="155">
      <c r="A155" t="inlineStr">
        <is>
          <t>ED BU</t>
        </is>
      </c>
      <c r="B155" s="3" t="n">
        <v>45721.55833333333</v>
      </c>
      <c r="C155" t="inlineStr">
        <is>
          <t>Nurul binti Yusof</t>
        </is>
      </c>
      <c r="D155" t="inlineStr">
        <is>
          <t>Nurul</t>
        </is>
      </c>
      <c r="E155" s="4" t="inlineStr">
        <is>
          <t>750316-10-8972</t>
        </is>
      </c>
      <c r="F155" t="inlineStr">
        <is>
          <t>MRN176457</t>
        </is>
      </c>
      <c r="G155" s="5" t="n">
        <v>50</v>
      </c>
      <c r="H155" t="inlineStr">
        <is>
          <t>Female</t>
        </is>
      </c>
      <c r="I155" t="inlineStr">
        <is>
          <t>gz</t>
        </is>
      </c>
      <c r="J155" t="inlineStr">
        <is>
          <t>bugz-waiting</t>
        </is>
      </c>
      <c r="K155" t="inlineStr">
        <is>
          <t>gz</t>
        </is>
      </c>
      <c r="L155" t="inlineStr">
        <is>
          <t>ongoingtreatment</t>
        </is>
      </c>
      <c r="N155" s="4" t="inlineStr">
        <is>
          <t>4</t>
        </is>
      </c>
      <c r="R155" s="6">
        <f>IF(OR(Q155="",P155=""),"",TEXT(Q155-P155,"[h]:mm"))</f>
        <v/>
      </c>
      <c r="S155" s="6">
        <f>IF(B155="","",IF(Q155&lt;&gt;"",TEXT(Q155-B155,"[h]:mm"),IF(U155&lt;&gt;"",TEXT(U155-B155,"[h]:mm"),"")))</f>
        <v/>
      </c>
      <c r="T155" s="6">
        <f>IF(OR(O155="",B155=""),"",TEXT(O155-B155,"[h]:mm"))</f>
        <v/>
      </c>
    </row>
    <row r="156">
      <c r="A156" t="inlineStr">
        <is>
          <t>ED BU</t>
        </is>
      </c>
      <c r="B156" s="3" t="n">
        <v>45721.55902777778</v>
      </c>
      <c r="C156" t="inlineStr">
        <is>
          <t>Suraya binti Mohamed</t>
        </is>
      </c>
      <c r="D156" t="inlineStr">
        <is>
          <t>Suraya</t>
        </is>
      </c>
      <c r="E156" s="4" t="inlineStr">
        <is>
          <t>020923-02-8283</t>
        </is>
      </c>
      <c r="F156" t="inlineStr">
        <is>
          <t>MRN717259</t>
        </is>
      </c>
      <c r="G156" s="5" t="n">
        <v>23</v>
      </c>
      <c r="H156" t="inlineStr">
        <is>
          <t>Female</t>
        </is>
      </c>
      <c r="I156" t="inlineStr">
        <is>
          <t>gz</t>
        </is>
      </c>
      <c r="J156" t="inlineStr">
        <is>
          <t>bugz-waiting</t>
        </is>
      </c>
      <c r="K156" t="inlineStr">
        <is>
          <t>gz</t>
        </is>
      </c>
      <c r="L156" t="inlineStr">
        <is>
          <t>ongoingtreatment</t>
        </is>
      </c>
      <c r="N156" s="4" t="inlineStr">
        <is>
          <t>9</t>
        </is>
      </c>
      <c r="R156" s="6">
        <f>IF(OR(Q156="",P156=""),"",TEXT(Q156-P156,"[h]:mm"))</f>
        <v/>
      </c>
      <c r="S156" s="6">
        <f>IF(B156="","",IF(Q156&lt;&gt;"",TEXT(Q156-B156,"[h]:mm"),IF(U156&lt;&gt;"",TEXT(U156-B156,"[h]:mm"),"")))</f>
        <v/>
      </c>
      <c r="T156" s="6">
        <f>IF(OR(O156="",B156=""),"",TEXT(O156-B156,"[h]:mm"))</f>
        <v/>
      </c>
    </row>
    <row r="157">
      <c r="A157" t="inlineStr">
        <is>
          <t>ED WCC</t>
        </is>
      </c>
      <c r="B157" s="3" t="n">
        <v>45721.55972222222</v>
      </c>
      <c r="C157" t="inlineStr">
        <is>
          <t>Norizan bin Osman</t>
        </is>
      </c>
      <c r="D157" t="inlineStr">
        <is>
          <t>Norizan</t>
        </is>
      </c>
      <c r="E157" s="4" t="inlineStr">
        <is>
          <t>690524-05-1940</t>
        </is>
      </c>
      <c r="F157" t="inlineStr">
        <is>
          <t>MRN379728</t>
        </is>
      </c>
      <c r="G157" s="5" t="n">
        <v>56</v>
      </c>
      <c r="H157" t="inlineStr">
        <is>
          <t>Male</t>
        </is>
      </c>
      <c r="I157" t="inlineStr">
        <is>
          <t>gz</t>
        </is>
      </c>
      <c r="J157" t="inlineStr">
        <is>
          <t>wccgz-waiting</t>
        </is>
      </c>
      <c r="K157" t="inlineStr">
        <is>
          <t>gz</t>
        </is>
      </c>
      <c r="L157" t="inlineStr">
        <is>
          <t>ongoingtreatment</t>
        </is>
      </c>
      <c r="N157" s="4" t="inlineStr">
        <is>
          <t>42</t>
        </is>
      </c>
      <c r="R157" s="6">
        <f>IF(OR(Q157="",P157=""),"",TEXT(Q157-P157,"[h]:mm"))</f>
        <v/>
      </c>
      <c r="S157" s="6">
        <f>IF(B157="","",IF(Q157&lt;&gt;"",TEXT(Q157-B157,"[h]:mm"),IF(U157&lt;&gt;"",TEXT(U157-B157,"[h]:mm"),"")))</f>
        <v/>
      </c>
      <c r="T157" s="6">
        <f>IF(OR(O157="",B157=""),"",TEXT(O157-B157,"[h]:mm"))</f>
        <v/>
      </c>
    </row>
    <row r="158">
      <c r="A158" t="inlineStr">
        <is>
          <t>ED WCC</t>
        </is>
      </c>
      <c r="B158" s="3" t="n">
        <v>45721.56041666667</v>
      </c>
      <c r="C158" t="inlineStr">
        <is>
          <t>Danial bin Yusof</t>
        </is>
      </c>
      <c r="D158" t="inlineStr">
        <is>
          <t>Danial</t>
        </is>
      </c>
      <c r="E158" s="4" t="inlineStr">
        <is>
          <t>810612-11-1966</t>
        </is>
      </c>
      <c r="F158" t="inlineStr">
        <is>
          <t>MRN913925</t>
        </is>
      </c>
      <c r="G158" s="5" t="n">
        <v>44</v>
      </c>
      <c r="H158" t="inlineStr">
        <is>
          <t>Male</t>
        </is>
      </c>
      <c r="I158" t="inlineStr">
        <is>
          <t>gz</t>
        </is>
      </c>
      <c r="J158" t="inlineStr">
        <is>
          <t>wccgz-waiting</t>
        </is>
      </c>
      <c r="K158" t="inlineStr">
        <is>
          <t>gz</t>
        </is>
      </c>
      <c r="L158" t="inlineStr">
        <is>
          <t>ongoingtreatment</t>
        </is>
      </c>
      <c r="N158" s="4" t="inlineStr">
        <is>
          <t>9</t>
        </is>
      </c>
      <c r="R158" s="6">
        <f>IF(OR(Q158="",P158=""),"",TEXT(Q158-P158,"[h]:mm"))</f>
        <v/>
      </c>
      <c r="S158" s="6">
        <f>IF(B158="","",IF(Q158&lt;&gt;"",TEXT(Q158-B158,"[h]:mm"),IF(U158&lt;&gt;"",TEXT(U158-B158,"[h]:mm"),"")))</f>
        <v/>
      </c>
      <c r="T158" s="6">
        <f>IF(OR(O158="",B158=""),"",TEXT(O158-B158,"[h]:mm"))</f>
        <v/>
      </c>
    </row>
    <row r="159">
      <c r="A159" t="inlineStr">
        <is>
          <t>ED BU</t>
        </is>
      </c>
      <c r="B159" s="3" t="n">
        <v>45721.56180555555</v>
      </c>
      <c r="C159" t="inlineStr">
        <is>
          <t>Norliza bin Ahmad</t>
        </is>
      </c>
      <c r="D159" t="inlineStr">
        <is>
          <t>Norliza</t>
        </is>
      </c>
      <c r="E159" s="4" t="inlineStr">
        <is>
          <t>920428-07-3756</t>
        </is>
      </c>
      <c r="F159" t="inlineStr">
        <is>
          <t>MRN951317</t>
        </is>
      </c>
      <c r="G159" s="5" t="n">
        <v>33</v>
      </c>
      <c r="H159" t="inlineStr">
        <is>
          <t>Male</t>
        </is>
      </c>
      <c r="I159" t="inlineStr">
        <is>
          <t>rz</t>
        </is>
      </c>
      <c r="J159" t="inlineStr">
        <is>
          <t>burz07crisis</t>
        </is>
      </c>
      <c r="K159" t="inlineStr">
        <is>
          <t>rz</t>
        </is>
      </c>
      <c r="L159" t="inlineStr">
        <is>
          <t>admitted</t>
        </is>
      </c>
      <c r="M159" t="inlineStr">
        <is>
          <t>Surgical</t>
        </is>
      </c>
      <c r="N159" s="4" t="n"/>
      <c r="P159" s="3" t="n">
        <v>45721.61805555555</v>
      </c>
      <c r="Q159" s="3" t="n">
        <v>45721.625</v>
      </c>
      <c r="R159" s="6">
        <f>IF(OR(Q159="",P159=""),"",TEXT(Q159-P159,"[h]:mm"))</f>
        <v/>
      </c>
      <c r="S159" s="6">
        <f>IF(B159="","",IF(Q159&lt;&gt;"",TEXT(Q159-B159,"[h]:mm"),IF(U159&lt;&gt;"",TEXT(U159-B159,"[h]:mm"),"")))</f>
        <v/>
      </c>
      <c r="T159" s="6">
        <f>IF(OR(O159="",B159=""),"",TEXT(O159-B159,"[h]:mm"))</f>
        <v/>
      </c>
    </row>
    <row r="160">
      <c r="A160" t="inlineStr">
        <is>
          <t>ED WCC</t>
        </is>
      </c>
      <c r="B160" s="3" t="n">
        <v>45721.5625</v>
      </c>
      <c r="C160" t="inlineStr">
        <is>
          <t>Aisyah bin Hassan</t>
        </is>
      </c>
      <c r="D160" t="inlineStr">
        <is>
          <t>Aisyah</t>
        </is>
      </c>
      <c r="E160" s="4" t="inlineStr">
        <is>
          <t>130608-06-3577</t>
        </is>
      </c>
      <c r="F160" t="inlineStr">
        <is>
          <t>MRN602271</t>
        </is>
      </c>
      <c r="G160" s="5" t="n">
        <v>12</v>
      </c>
      <c r="H160" t="inlineStr">
        <is>
          <t>Male</t>
        </is>
      </c>
      <c r="I160" t="inlineStr">
        <is>
          <t>gz</t>
        </is>
      </c>
      <c r="J160" t="inlineStr">
        <is>
          <t>wccgz-waiting</t>
        </is>
      </c>
      <c r="K160" t="inlineStr">
        <is>
          <t>gz</t>
        </is>
      </c>
      <c r="L160" t="inlineStr">
        <is>
          <t>ongoingtreatment</t>
        </is>
      </c>
      <c r="N160" s="4" t="inlineStr">
        <is>
          <t>4</t>
        </is>
      </c>
      <c r="R160" s="6">
        <f>IF(OR(Q160="",P160=""),"",TEXT(Q160-P160,"[h]:mm"))</f>
        <v/>
      </c>
      <c r="S160" s="6">
        <f>IF(B160="","",IF(Q160&lt;&gt;"",TEXT(Q160-B160,"[h]:mm"),IF(U160&lt;&gt;"",TEXT(U160-B160,"[h]:mm"),"")))</f>
        <v/>
      </c>
      <c r="T160" s="6">
        <f>IF(OR(O160="",B160=""),"",TEXT(O160-B160,"[h]:mm"))</f>
        <v/>
      </c>
    </row>
    <row r="161">
      <c r="A161" t="inlineStr">
        <is>
          <t>ED WCC</t>
        </is>
      </c>
      <c r="B161" s="3" t="n">
        <v>45721.56527777778</v>
      </c>
      <c r="C161" t="inlineStr">
        <is>
          <t>Nizam binti Rahman</t>
        </is>
      </c>
      <c r="D161" t="inlineStr">
        <is>
          <t>Nizam</t>
        </is>
      </c>
      <c r="E161" s="4" t="inlineStr">
        <is>
          <t>921102-14-8660</t>
        </is>
      </c>
      <c r="F161" t="inlineStr">
        <is>
          <t>MRN711519</t>
        </is>
      </c>
      <c r="G161" s="5" t="n">
        <v>33</v>
      </c>
      <c r="H161" t="inlineStr">
        <is>
          <t>Female</t>
        </is>
      </c>
      <c r="I161" t="inlineStr">
        <is>
          <t>gz</t>
        </is>
      </c>
      <c r="J161" t="inlineStr">
        <is>
          <t>wccgz-waiting</t>
        </is>
      </c>
      <c r="K161" t="inlineStr">
        <is>
          <t>gz</t>
        </is>
      </c>
      <c r="L161" t="inlineStr">
        <is>
          <t>ongoingtreatment</t>
        </is>
      </c>
      <c r="N161" s="4" t="inlineStr">
        <is>
          <t>33</t>
        </is>
      </c>
      <c r="R161" s="6">
        <f>IF(OR(Q161="",P161=""),"",TEXT(Q161-P161,"[h]:mm"))</f>
        <v/>
      </c>
      <c r="S161" s="6">
        <f>IF(B161="","",IF(Q161&lt;&gt;"",TEXT(Q161-B161,"[h]:mm"),IF(U161&lt;&gt;"",TEXT(U161-B161,"[h]:mm"),"")))</f>
        <v/>
      </c>
      <c r="T161" s="6">
        <f>IF(OR(O161="",B161=""),"",TEXT(O161-B161,"[h]:mm"))</f>
        <v/>
      </c>
    </row>
    <row r="162">
      <c r="A162" t="inlineStr">
        <is>
          <t>ED WCC</t>
        </is>
      </c>
      <c r="B162" s="3" t="n">
        <v>45721.56805555556</v>
      </c>
      <c r="C162" t="inlineStr">
        <is>
          <t>Faizal binti Zakaria</t>
        </is>
      </c>
      <c r="D162" t="inlineStr">
        <is>
          <t>Faizal</t>
        </is>
      </c>
      <c r="E162" s="4" t="inlineStr">
        <is>
          <t>180123-02-1366</t>
        </is>
      </c>
      <c r="F162" t="inlineStr">
        <is>
          <t>MRN743686</t>
        </is>
      </c>
      <c r="G162" s="5" t="n">
        <v>7</v>
      </c>
      <c r="H162" t="inlineStr">
        <is>
          <t>Female</t>
        </is>
      </c>
      <c r="I162" t="inlineStr">
        <is>
          <t>rz</t>
        </is>
      </c>
      <c r="J162" t="inlineStr">
        <is>
          <t>wccrz05crisis</t>
        </is>
      </c>
      <c r="K162" t="inlineStr">
        <is>
          <t>rz</t>
        </is>
      </c>
      <c r="L162" t="inlineStr">
        <is>
          <t>ongoingtreatment</t>
        </is>
      </c>
      <c r="N162" s="4" t="n"/>
      <c r="R162" s="6">
        <f>IF(OR(Q162="",P162=""),"",TEXT(Q162-P162,"[h]:mm"))</f>
        <v/>
      </c>
      <c r="S162" s="6">
        <f>IF(B162="","",IF(Q162&lt;&gt;"",TEXT(Q162-B162,"[h]:mm"),IF(U162&lt;&gt;"",TEXT(U162-B162,"[h]:mm"),"")))</f>
        <v/>
      </c>
      <c r="T162" s="6">
        <f>IF(OR(O162="",B162=""),"",TEXT(O162-B162,"[h]:mm"))</f>
        <v/>
      </c>
    </row>
    <row r="163">
      <c r="A163" t="inlineStr">
        <is>
          <t>ED BU</t>
        </is>
      </c>
      <c r="B163" s="3" t="n">
        <v>45721.56875</v>
      </c>
      <c r="C163" t="inlineStr">
        <is>
          <t>Helmi bin Mohamed</t>
        </is>
      </c>
      <c r="D163" t="inlineStr">
        <is>
          <t>Helmi</t>
        </is>
      </c>
      <c r="E163" s="4" t="inlineStr">
        <is>
          <t>960924-06-3409</t>
        </is>
      </c>
      <c r="F163" t="inlineStr">
        <is>
          <t>MRN617690</t>
        </is>
      </c>
      <c r="G163" s="5" t="n">
        <v>29</v>
      </c>
      <c r="H163" t="inlineStr">
        <is>
          <t>Male</t>
        </is>
      </c>
      <c r="I163" t="inlineStr">
        <is>
          <t>gz</t>
        </is>
      </c>
      <c r="J163" t="inlineStr">
        <is>
          <t>bugz-waiting</t>
        </is>
      </c>
      <c r="K163" t="inlineStr">
        <is>
          <t>gz</t>
        </is>
      </c>
      <c r="L163" t="inlineStr">
        <is>
          <t>ongoingtreatment</t>
        </is>
      </c>
      <c r="N163" s="4" t="inlineStr">
        <is>
          <t>14</t>
        </is>
      </c>
      <c r="R163" s="6">
        <f>IF(OR(Q163="",P163=""),"",TEXT(Q163-P163,"[h]:mm"))</f>
        <v/>
      </c>
      <c r="S163" s="6">
        <f>IF(B163="","",IF(Q163&lt;&gt;"",TEXT(Q163-B163,"[h]:mm"),IF(U163&lt;&gt;"",TEXT(U163-B163,"[h]:mm"),"")))</f>
        <v/>
      </c>
      <c r="T163" s="6">
        <f>IF(OR(O163="",B163=""),"",TEXT(O163-B163,"[h]:mm"))</f>
        <v/>
      </c>
    </row>
    <row r="164">
      <c r="A164" t="inlineStr">
        <is>
          <t>ED BU</t>
        </is>
      </c>
      <c r="B164" s="3" t="n">
        <v>45721.56944444445</v>
      </c>
      <c r="C164" t="inlineStr">
        <is>
          <t>Hafizah binti Ahmad</t>
        </is>
      </c>
      <c r="D164" t="inlineStr">
        <is>
          <t>Hafizah</t>
        </is>
      </c>
      <c r="E164" s="4" t="inlineStr">
        <is>
          <t>820507-02-4129</t>
        </is>
      </c>
      <c r="F164" t="inlineStr">
        <is>
          <t>MRN674998</t>
        </is>
      </c>
      <c r="G164" s="5" t="n">
        <v>43</v>
      </c>
      <c r="H164" t="inlineStr">
        <is>
          <t>Female</t>
        </is>
      </c>
      <c r="I164" t="inlineStr">
        <is>
          <t>yz</t>
        </is>
      </c>
      <c r="J164" t="inlineStr">
        <is>
          <t>buyz38crisis</t>
        </is>
      </c>
      <c r="K164" t="inlineStr">
        <is>
          <t>yz</t>
        </is>
      </c>
      <c r="L164" t="inlineStr">
        <is>
          <t>referred</t>
        </is>
      </c>
      <c r="M164" t="inlineStr">
        <is>
          <t>Paediatric</t>
        </is>
      </c>
      <c r="N164" s="4" t="n"/>
      <c r="R164" s="6">
        <f>IF(OR(Q164="",P164=""),"",TEXT(Q164-P164,"[h]:mm"))</f>
        <v/>
      </c>
      <c r="S164" s="6">
        <f>IF(B164="","",IF(Q164&lt;&gt;"",TEXT(Q164-B164,"[h]:mm"),IF(U164&lt;&gt;"",TEXT(U164-B164,"[h]:mm"),"")))</f>
        <v/>
      </c>
      <c r="T164" s="6">
        <f>IF(OR(O164="",B164=""),"",TEXT(O164-B164,"[h]:mm"))</f>
        <v/>
      </c>
    </row>
    <row r="165">
      <c r="A165" t="inlineStr">
        <is>
          <t>ED BU</t>
        </is>
      </c>
      <c r="B165" s="3" t="n">
        <v>45721.57083333333</v>
      </c>
      <c r="C165" t="inlineStr">
        <is>
          <t>Nizam binti Ismail</t>
        </is>
      </c>
      <c r="D165" t="inlineStr">
        <is>
          <t>Nizam</t>
        </is>
      </c>
      <c r="E165" s="4" t="inlineStr">
        <is>
          <t>740902-09-9700</t>
        </is>
      </c>
      <c r="F165" t="inlineStr">
        <is>
          <t>MRN243852</t>
        </is>
      </c>
      <c r="G165" s="5" t="n">
        <v>51</v>
      </c>
      <c r="H165" t="inlineStr">
        <is>
          <t>Female</t>
        </is>
      </c>
      <c r="I165" t="inlineStr">
        <is>
          <t>yz</t>
        </is>
      </c>
      <c r="J165" t="inlineStr">
        <is>
          <t>buyz10</t>
        </is>
      </c>
      <c r="K165" t="inlineStr">
        <is>
          <t>yz</t>
        </is>
      </c>
      <c r="L165" t="inlineStr">
        <is>
          <t>ongoingtreatment</t>
        </is>
      </c>
      <c r="N165" s="4" t="n"/>
      <c r="R165" s="6">
        <f>IF(OR(Q165="",P165=""),"",TEXT(Q165-P165,"[h]:mm"))</f>
        <v/>
      </c>
      <c r="S165" s="6">
        <f>IF(B165="","",IF(Q165&lt;&gt;"",TEXT(Q165-B165,"[h]:mm"),IF(U165&lt;&gt;"",TEXT(U165-B165,"[h]:mm"),"")))</f>
        <v/>
      </c>
      <c r="T165" s="6">
        <f>IF(OR(O165="",B165=""),"",TEXT(O165-B165,"[h]:mm"))</f>
        <v/>
      </c>
    </row>
    <row r="166">
      <c r="A166" t="inlineStr">
        <is>
          <t>ED BU</t>
        </is>
      </c>
      <c r="B166" s="3" t="n">
        <v>45721.57083333333</v>
      </c>
      <c r="C166" t="inlineStr">
        <is>
          <t>Hamizan binti Zakaria</t>
        </is>
      </c>
      <c r="D166" t="inlineStr">
        <is>
          <t>Hamizan</t>
        </is>
      </c>
      <c r="E166" s="4" t="inlineStr">
        <is>
          <t>570313-03-5636</t>
        </is>
      </c>
      <c r="F166" t="inlineStr">
        <is>
          <t>MRN875999</t>
        </is>
      </c>
      <c r="G166" s="5" t="n">
        <v>68</v>
      </c>
      <c r="H166" t="inlineStr">
        <is>
          <t>Female</t>
        </is>
      </c>
      <c r="I166" t="inlineStr">
        <is>
          <t>yz</t>
        </is>
      </c>
      <c r="J166" t="inlineStr">
        <is>
          <t>buyz36crisis</t>
        </is>
      </c>
      <c r="K166" t="inlineStr">
        <is>
          <t>yz</t>
        </is>
      </c>
      <c r="L166" t="inlineStr">
        <is>
          <t>ongoingtreatment</t>
        </is>
      </c>
      <c r="N166" s="4" t="n"/>
      <c r="R166" s="6">
        <f>IF(OR(Q166="",P166=""),"",TEXT(Q166-P166,"[h]:mm"))</f>
        <v/>
      </c>
      <c r="S166" s="6">
        <f>IF(B166="","",IF(Q166&lt;&gt;"",TEXT(Q166-B166,"[h]:mm"),IF(U166&lt;&gt;"",TEXT(U166-B166,"[h]:mm"),"")))</f>
        <v/>
      </c>
      <c r="T166" s="6">
        <f>IF(OR(O166="",B166=""),"",TEXT(O166-B166,"[h]:mm"))</f>
        <v/>
      </c>
    </row>
    <row r="167">
      <c r="A167" t="inlineStr">
        <is>
          <t>ED BU</t>
        </is>
      </c>
      <c r="B167" s="3" t="n">
        <v>45721.57083333333</v>
      </c>
      <c r="C167" t="inlineStr">
        <is>
          <t>Norliza bin Ibrahim</t>
        </is>
      </c>
      <c r="D167" t="inlineStr">
        <is>
          <t>Norliza</t>
        </is>
      </c>
      <c r="E167" s="4" t="inlineStr">
        <is>
          <t>470204-08-0043</t>
        </is>
      </c>
      <c r="F167" t="inlineStr">
        <is>
          <t>MRN778928</t>
        </is>
      </c>
      <c r="G167" s="5" t="n">
        <v>78</v>
      </c>
      <c r="H167" t="inlineStr">
        <is>
          <t>Male</t>
        </is>
      </c>
      <c r="I167" t="inlineStr">
        <is>
          <t>gz</t>
        </is>
      </c>
      <c r="J167" t="inlineStr">
        <is>
          <t>bugz-waiting</t>
        </is>
      </c>
      <c r="K167" t="inlineStr">
        <is>
          <t>gz</t>
        </is>
      </c>
      <c r="L167" t="inlineStr">
        <is>
          <t>ongoingtreatment</t>
        </is>
      </c>
      <c r="N167" s="4" t="inlineStr">
        <is>
          <t>10</t>
        </is>
      </c>
      <c r="R167" s="6">
        <f>IF(OR(Q167="",P167=""),"",TEXT(Q167-P167,"[h]:mm"))</f>
        <v/>
      </c>
      <c r="S167" s="6">
        <f>IF(B167="","",IF(Q167&lt;&gt;"",TEXT(Q167-B167,"[h]:mm"),IF(U167&lt;&gt;"",TEXT(U167-B167,"[h]:mm"),"")))</f>
        <v/>
      </c>
      <c r="T167" s="6">
        <f>IF(OR(O167="",B167=""),"",TEXT(O167-B167,"[h]:mm"))</f>
        <v/>
      </c>
    </row>
    <row r="168">
      <c r="A168" t="inlineStr">
        <is>
          <t>ED BU</t>
        </is>
      </c>
      <c r="B168" s="3" t="n">
        <v>45721.57361111111</v>
      </c>
      <c r="C168" t="inlineStr">
        <is>
          <t>Hafiz binti Ibrahim</t>
        </is>
      </c>
      <c r="D168" t="inlineStr">
        <is>
          <t>Hafiz</t>
        </is>
      </c>
      <c r="E168" s="4" t="inlineStr">
        <is>
          <t>570521-09-4191</t>
        </is>
      </c>
      <c r="F168" t="inlineStr">
        <is>
          <t>MRN138093</t>
        </is>
      </c>
      <c r="G168" s="5" t="n">
        <v>68</v>
      </c>
      <c r="H168" t="inlineStr">
        <is>
          <t>Female</t>
        </is>
      </c>
      <c r="I168" t="inlineStr">
        <is>
          <t>yz</t>
        </is>
      </c>
      <c r="J168" t="inlineStr">
        <is>
          <t>buyz45crisis</t>
        </is>
      </c>
      <c r="K168" t="inlineStr">
        <is>
          <t>yz</t>
        </is>
      </c>
      <c r="L168" t="inlineStr">
        <is>
          <t>discharge</t>
        </is>
      </c>
      <c r="N168" s="4" t="n"/>
      <c r="R168" s="6">
        <f>IF(OR(Q168="",P168=""),"",TEXT(Q168-P168,"[h]:mm"))</f>
        <v/>
      </c>
      <c r="S168" s="6">
        <f>IF(B168="","",IF(Q168&lt;&gt;"",TEXT(Q168-B168,"[h]:mm"),IF(U168&lt;&gt;"",TEXT(U168-B168,"[h]:mm"),"")))</f>
        <v/>
      </c>
      <c r="T168" s="6">
        <f>IF(OR(O168="",B168=""),"",TEXT(O168-B168,"[h]:mm"))</f>
        <v/>
      </c>
      <c r="U168" s="3" t="n">
        <v>45721.625</v>
      </c>
    </row>
    <row r="169">
      <c r="A169" t="inlineStr">
        <is>
          <t>ED WCC</t>
        </is>
      </c>
      <c r="B169" s="3" t="n">
        <v>45721.57569444444</v>
      </c>
      <c r="C169" t="inlineStr">
        <is>
          <t>Norizan binti Omar</t>
        </is>
      </c>
      <c r="D169" t="inlineStr">
        <is>
          <t>Norizan</t>
        </is>
      </c>
      <c r="E169" s="4" t="inlineStr">
        <is>
          <t>050213-04-8809</t>
        </is>
      </c>
      <c r="F169" t="inlineStr">
        <is>
          <t>MRN350771</t>
        </is>
      </c>
      <c r="G169" s="5" t="n">
        <v>20</v>
      </c>
      <c r="H169" t="inlineStr">
        <is>
          <t>Female</t>
        </is>
      </c>
      <c r="I169" t="inlineStr">
        <is>
          <t>gz</t>
        </is>
      </c>
      <c r="J169" t="inlineStr">
        <is>
          <t>wccgz-waiting</t>
        </is>
      </c>
      <c r="K169" t="inlineStr">
        <is>
          <t>gz</t>
        </is>
      </c>
      <c r="L169" t="inlineStr">
        <is>
          <t>ongoingtreatment</t>
        </is>
      </c>
      <c r="N169" s="4" t="inlineStr">
        <is>
          <t>22</t>
        </is>
      </c>
      <c r="R169" s="6">
        <f>IF(OR(Q169="",P169=""),"",TEXT(Q169-P169,"[h]:mm"))</f>
        <v/>
      </c>
      <c r="S169" s="6">
        <f>IF(B169="","",IF(Q169&lt;&gt;"",TEXT(Q169-B169,"[h]:mm"),IF(U169&lt;&gt;"",TEXT(U169-B169,"[h]:mm"),"")))</f>
        <v/>
      </c>
      <c r="T169" s="6">
        <f>IF(OR(O169="",B169=""),"",TEXT(O169-B169,"[h]:mm"))</f>
        <v/>
      </c>
    </row>
    <row r="170">
      <c r="A170" t="inlineStr">
        <is>
          <t>ED WCC</t>
        </is>
      </c>
      <c r="B170" s="3" t="n">
        <v>45721.57569444444</v>
      </c>
      <c r="C170" t="inlineStr">
        <is>
          <t>Siti binti Ibrahim</t>
        </is>
      </c>
      <c r="D170" t="inlineStr">
        <is>
          <t>Siti</t>
        </is>
      </c>
      <c r="E170" s="4" t="inlineStr">
        <is>
          <t>130525-10-9973</t>
        </is>
      </c>
      <c r="F170" t="inlineStr">
        <is>
          <t>MRN672176</t>
        </is>
      </c>
      <c r="G170" s="5" t="n">
        <v>12</v>
      </c>
      <c r="H170" t="inlineStr">
        <is>
          <t>Female</t>
        </is>
      </c>
      <c r="I170" t="inlineStr">
        <is>
          <t>gz</t>
        </is>
      </c>
      <c r="J170" t="inlineStr">
        <is>
          <t>wccgz-waiting</t>
        </is>
      </c>
      <c r="K170" t="inlineStr">
        <is>
          <t>gz</t>
        </is>
      </c>
      <c r="L170" t="inlineStr">
        <is>
          <t>ongoingtreatment</t>
        </is>
      </c>
      <c r="N170" s="4" t="inlineStr">
        <is>
          <t>44</t>
        </is>
      </c>
      <c r="R170" s="6">
        <f>IF(OR(Q170="",P170=""),"",TEXT(Q170-P170,"[h]:mm"))</f>
        <v/>
      </c>
      <c r="S170" s="6">
        <f>IF(B170="","",IF(Q170&lt;&gt;"",TEXT(Q170-B170,"[h]:mm"),IF(U170&lt;&gt;"",TEXT(U170-B170,"[h]:mm"),"")))</f>
        <v/>
      </c>
      <c r="T170" s="6">
        <f>IF(OR(O170="",B170=""),"",TEXT(O170-B170,"[h]:mm"))</f>
        <v/>
      </c>
    </row>
    <row r="171">
      <c r="A171" t="inlineStr">
        <is>
          <t>PAC WCC</t>
        </is>
      </c>
      <c r="B171" s="3" t="n">
        <v>45721.57708333333</v>
      </c>
      <c r="C171" t="inlineStr">
        <is>
          <t>Aisyah binti Ibrahim</t>
        </is>
      </c>
      <c r="D171" t="inlineStr">
        <is>
          <t>Aisyah</t>
        </is>
      </c>
      <c r="E171" s="4" t="inlineStr">
        <is>
          <t>940711-06-8280</t>
        </is>
      </c>
      <c r="F171" t="inlineStr">
        <is>
          <t>MRN182410</t>
        </is>
      </c>
      <c r="G171" s="5" t="n">
        <v>31</v>
      </c>
      <c r="H171" t="inlineStr">
        <is>
          <t>Female</t>
        </is>
      </c>
      <c r="I171" t="inlineStr">
        <is>
          <t>pac</t>
        </is>
      </c>
      <c r="J171" t="inlineStr">
        <is>
          <t>wccpac01</t>
        </is>
      </c>
      <c r="K171" t="inlineStr">
        <is>
          <t>pac</t>
        </is>
      </c>
      <c r="L171" t="inlineStr">
        <is>
          <t>discharge</t>
        </is>
      </c>
      <c r="N171" s="4" t="n"/>
      <c r="R171" s="6">
        <f>IF(OR(Q171="",P171=""),"",TEXT(Q171-P171,"[h]:mm"))</f>
        <v/>
      </c>
      <c r="S171" s="6">
        <f>IF(B171="","",IF(Q171&lt;&gt;"",TEXT(Q171-B171,"[h]:mm"),IF(U171&lt;&gt;"",TEXT(U171-B171,"[h]:mm"),"")))</f>
        <v/>
      </c>
      <c r="T171" s="6">
        <f>IF(OR(O171="",B171=""),"",TEXT(O171-B171,"[h]:mm"))</f>
        <v/>
      </c>
      <c r="U171" s="3" t="n">
        <v>45721.625</v>
      </c>
    </row>
    <row r="172">
      <c r="A172" t="inlineStr">
        <is>
          <t>ED WCC</t>
        </is>
      </c>
      <c r="B172" s="3" t="n">
        <v>45721.57847222222</v>
      </c>
      <c r="C172" t="inlineStr">
        <is>
          <t>Amirah bin Salleh</t>
        </is>
      </c>
      <c r="D172" t="inlineStr">
        <is>
          <t>Amirah</t>
        </is>
      </c>
      <c r="E172" s="4" t="inlineStr">
        <is>
          <t>170402-12-7874</t>
        </is>
      </c>
      <c r="F172" t="inlineStr">
        <is>
          <t>MRN865933</t>
        </is>
      </c>
      <c r="G172" s="5" t="n">
        <v>8</v>
      </c>
      <c r="H172" t="inlineStr">
        <is>
          <t>Male</t>
        </is>
      </c>
      <c r="I172" t="inlineStr">
        <is>
          <t>gz</t>
        </is>
      </c>
      <c r="J172" t="inlineStr">
        <is>
          <t>wccgz-waiting</t>
        </is>
      </c>
      <c r="K172" t="inlineStr">
        <is>
          <t>gz</t>
        </is>
      </c>
      <c r="L172" t="inlineStr">
        <is>
          <t>ongoingtreatment</t>
        </is>
      </c>
      <c r="N172" s="4" t="inlineStr">
        <is>
          <t>6</t>
        </is>
      </c>
      <c r="R172" s="6">
        <f>IF(OR(Q172="",P172=""),"",TEXT(Q172-P172,"[h]:mm"))</f>
        <v/>
      </c>
      <c r="S172" s="6">
        <f>IF(B172="","",IF(Q172&lt;&gt;"",TEXT(Q172-B172,"[h]:mm"),IF(U172&lt;&gt;"",TEXT(U172-B172,"[h]:mm"),"")))</f>
        <v/>
      </c>
      <c r="T172" s="6">
        <f>IF(OR(O172="",B172=""),"",TEXT(O172-B172,"[h]:mm"))</f>
        <v/>
      </c>
    </row>
    <row r="173">
      <c r="A173" t="inlineStr">
        <is>
          <t>ED BU</t>
        </is>
      </c>
      <c r="B173" s="3" t="n">
        <v>45721.57847222222</v>
      </c>
      <c r="C173" t="inlineStr">
        <is>
          <t>Izzuddin bin Rahman</t>
        </is>
      </c>
      <c r="D173" t="inlineStr">
        <is>
          <t>Izzuddin</t>
        </is>
      </c>
      <c r="E173" s="4" t="inlineStr">
        <is>
          <t>400209-02-7259</t>
        </is>
      </c>
      <c r="F173" t="inlineStr">
        <is>
          <t>MRN602168</t>
        </is>
      </c>
      <c r="G173" s="5" t="n">
        <v>85</v>
      </c>
      <c r="H173" t="inlineStr">
        <is>
          <t>Male</t>
        </is>
      </c>
      <c r="I173" t="inlineStr">
        <is>
          <t>yz</t>
        </is>
      </c>
      <c r="J173" t="inlineStr">
        <is>
          <t>buyz18crisis</t>
        </is>
      </c>
      <c r="K173" t="inlineStr">
        <is>
          <t>yz</t>
        </is>
      </c>
      <c r="L173" t="inlineStr">
        <is>
          <t>ongoingtreatment</t>
        </is>
      </c>
      <c r="N173" s="4" t="n"/>
      <c r="R173" s="6">
        <f>IF(OR(Q173="",P173=""),"",TEXT(Q173-P173,"[h]:mm"))</f>
        <v/>
      </c>
      <c r="S173" s="6">
        <f>IF(B173="","",IF(Q173&lt;&gt;"",TEXT(Q173-B173,"[h]:mm"),IF(U173&lt;&gt;"",TEXT(U173-B173,"[h]:mm"),"")))</f>
        <v/>
      </c>
      <c r="T173" s="6">
        <f>IF(OR(O173="",B173=""),"",TEXT(O173-B173,"[h]:mm"))</f>
        <v/>
      </c>
    </row>
    <row r="174">
      <c r="A174" t="inlineStr">
        <is>
          <t>ED BU</t>
        </is>
      </c>
      <c r="B174" s="3" t="n">
        <v>45721.57847222222</v>
      </c>
      <c r="C174" t="inlineStr">
        <is>
          <t>Farah bin Ahmad</t>
        </is>
      </c>
      <c r="D174" t="inlineStr">
        <is>
          <t>Farah</t>
        </is>
      </c>
      <c r="E174" s="4" t="inlineStr">
        <is>
          <t>990620-02-0851</t>
        </is>
      </c>
      <c r="F174" t="inlineStr">
        <is>
          <t>MRN579957</t>
        </is>
      </c>
      <c r="G174" s="5" t="n">
        <v>26</v>
      </c>
      <c r="H174" t="inlineStr">
        <is>
          <t>Male</t>
        </is>
      </c>
      <c r="I174" t="inlineStr">
        <is>
          <t>gz</t>
        </is>
      </c>
      <c r="J174" t="inlineStr">
        <is>
          <t>bugz-waiting</t>
        </is>
      </c>
      <c r="K174" t="inlineStr">
        <is>
          <t>gz</t>
        </is>
      </c>
      <c r="L174" t="inlineStr">
        <is>
          <t>ongoingtreatment</t>
        </is>
      </c>
      <c r="N174" s="4" t="inlineStr">
        <is>
          <t>3</t>
        </is>
      </c>
      <c r="R174" s="6">
        <f>IF(OR(Q174="",P174=""),"",TEXT(Q174-P174,"[h]:mm"))</f>
        <v/>
      </c>
      <c r="S174" s="6">
        <f>IF(B174="","",IF(Q174&lt;&gt;"",TEXT(Q174-B174,"[h]:mm"),IF(U174&lt;&gt;"",TEXT(U174-B174,"[h]:mm"),"")))</f>
        <v/>
      </c>
      <c r="T174" s="6">
        <f>IF(OR(O174="",B174=""),"",TEXT(O174-B174,"[h]:mm"))</f>
        <v/>
      </c>
    </row>
    <row r="175">
      <c r="A175" t="inlineStr">
        <is>
          <t>ED WCC</t>
        </is>
      </c>
      <c r="B175" s="3" t="n">
        <v>45721.57916666667</v>
      </c>
      <c r="C175" t="inlineStr">
        <is>
          <t>Hamizan bin Omar</t>
        </is>
      </c>
      <c r="D175" t="inlineStr">
        <is>
          <t>Hamizan</t>
        </is>
      </c>
      <c r="E175" s="4" t="inlineStr">
        <is>
          <t>241025-05-6792</t>
        </is>
      </c>
      <c r="F175" t="inlineStr">
        <is>
          <t>MRN236087</t>
        </is>
      </c>
      <c r="G175" s="5" t="n">
        <v>1</v>
      </c>
      <c r="H175" t="inlineStr">
        <is>
          <t>Male</t>
        </is>
      </c>
      <c r="I175" t="inlineStr">
        <is>
          <t>ob</t>
        </is>
      </c>
      <c r="J175" t="inlineStr">
        <is>
          <t>wccob09crisis</t>
        </is>
      </c>
      <c r="K175" t="inlineStr">
        <is>
          <t>ob</t>
        </is>
      </c>
      <c r="L175" t="inlineStr">
        <is>
          <t>ongoingtreatment</t>
        </is>
      </c>
      <c r="N175" s="4" t="n"/>
      <c r="R175" s="6">
        <f>IF(OR(Q175="",P175=""),"",TEXT(Q175-P175,"[h]:mm"))</f>
        <v/>
      </c>
      <c r="S175" s="6">
        <f>IF(B175="","",IF(Q175&lt;&gt;"",TEXT(Q175-B175,"[h]:mm"),IF(U175&lt;&gt;"",TEXT(U175-B175,"[h]:mm"),"")))</f>
        <v/>
      </c>
      <c r="T175" s="6">
        <f>IF(OR(O175="",B175=""),"",TEXT(O175-B175,"[h]:mm"))</f>
        <v/>
      </c>
    </row>
    <row r="176">
      <c r="A176" t="inlineStr">
        <is>
          <t>ED WCC</t>
        </is>
      </c>
      <c r="B176" s="3" t="n">
        <v>45721.57916666667</v>
      </c>
      <c r="C176" t="inlineStr">
        <is>
          <t>Helmi binti Mohamed</t>
        </is>
      </c>
      <c r="D176" t="inlineStr">
        <is>
          <t>Helmi</t>
        </is>
      </c>
      <c r="E176" s="4" t="inlineStr">
        <is>
          <t>090625-03-3394</t>
        </is>
      </c>
      <c r="F176" t="inlineStr">
        <is>
          <t>MRN461065</t>
        </is>
      </c>
      <c r="G176" s="5" t="n">
        <v>16</v>
      </c>
      <c r="H176" t="inlineStr">
        <is>
          <t>Female</t>
        </is>
      </c>
      <c r="I176" t="inlineStr">
        <is>
          <t>gz</t>
        </is>
      </c>
      <c r="J176" t="inlineStr">
        <is>
          <t>wccgz-waiting</t>
        </is>
      </c>
      <c r="K176" t="inlineStr">
        <is>
          <t>gz</t>
        </is>
      </c>
      <c r="L176" t="inlineStr">
        <is>
          <t>ongoingtreatment</t>
        </is>
      </c>
      <c r="N176" s="4" t="inlineStr">
        <is>
          <t>45</t>
        </is>
      </c>
      <c r="R176" s="6">
        <f>IF(OR(Q176="",P176=""),"",TEXT(Q176-P176,"[h]:mm"))</f>
        <v/>
      </c>
      <c r="S176" s="6">
        <f>IF(B176="","",IF(Q176&lt;&gt;"",TEXT(Q176-B176,"[h]:mm"),IF(U176&lt;&gt;"",TEXT(U176-B176,"[h]:mm"),"")))</f>
        <v/>
      </c>
      <c r="T176" s="6">
        <f>IF(OR(O176="",B176=""),"",TEXT(O176-B176,"[h]:mm"))</f>
        <v/>
      </c>
    </row>
    <row r="177">
      <c r="A177" t="inlineStr">
        <is>
          <t>ED WCC</t>
        </is>
      </c>
      <c r="B177" s="3" t="n">
        <v>45721.57986111111</v>
      </c>
      <c r="C177" t="inlineStr">
        <is>
          <t>Syed binti Abdullah</t>
        </is>
      </c>
      <c r="D177" t="inlineStr">
        <is>
          <t>Syed</t>
        </is>
      </c>
      <c r="E177" s="4" t="inlineStr">
        <is>
          <t>620520-13-7669</t>
        </is>
      </c>
      <c r="F177" t="inlineStr">
        <is>
          <t>MRN318128</t>
        </is>
      </c>
      <c r="G177" s="5" t="n">
        <v>63</v>
      </c>
      <c r="H177" t="inlineStr">
        <is>
          <t>Female</t>
        </is>
      </c>
      <c r="I177" t="inlineStr">
        <is>
          <t>gz</t>
        </is>
      </c>
      <c r="J177" t="inlineStr">
        <is>
          <t>wccgz-waiting</t>
        </is>
      </c>
      <c r="K177" t="inlineStr">
        <is>
          <t>gz</t>
        </is>
      </c>
      <c r="L177" t="inlineStr">
        <is>
          <t>ongoingtreatment</t>
        </is>
      </c>
      <c r="N177" s="4" t="inlineStr">
        <is>
          <t>10</t>
        </is>
      </c>
      <c r="R177" s="6">
        <f>IF(OR(Q177="",P177=""),"",TEXT(Q177-P177,"[h]:mm"))</f>
        <v/>
      </c>
      <c r="S177" s="6">
        <f>IF(B177="","",IF(Q177&lt;&gt;"",TEXT(Q177-B177,"[h]:mm"),IF(U177&lt;&gt;"",TEXT(U177-B177,"[h]:mm"),"")))</f>
        <v/>
      </c>
      <c r="T177" s="6">
        <f>IF(OR(O177="",B177=""),"",TEXT(O177-B177,"[h]:mm"))</f>
        <v/>
      </c>
    </row>
    <row r="178">
      <c r="A178" t="inlineStr">
        <is>
          <t>ED WCC</t>
        </is>
      </c>
      <c r="B178" s="3" t="n">
        <v>45721.57986111111</v>
      </c>
      <c r="C178" t="inlineStr">
        <is>
          <t>Nizam bin Ahmad</t>
        </is>
      </c>
      <c r="D178" t="inlineStr">
        <is>
          <t>Nizam</t>
        </is>
      </c>
      <c r="E178" s="4" t="inlineStr">
        <is>
          <t>900710-13-7977</t>
        </is>
      </c>
      <c r="F178" t="inlineStr">
        <is>
          <t>MRN130025</t>
        </is>
      </c>
      <c r="G178" s="5" t="n">
        <v>35</v>
      </c>
      <c r="H178" t="inlineStr">
        <is>
          <t>Male</t>
        </is>
      </c>
      <c r="I178" t="inlineStr">
        <is>
          <t>gz</t>
        </is>
      </c>
      <c r="J178" t="inlineStr">
        <is>
          <t>wccgz-waiting</t>
        </is>
      </c>
      <c r="K178" t="inlineStr">
        <is>
          <t>gz</t>
        </is>
      </c>
      <c r="L178" t="inlineStr">
        <is>
          <t>ongoingtreatment</t>
        </is>
      </c>
      <c r="N178" s="4" t="inlineStr">
        <is>
          <t>18</t>
        </is>
      </c>
      <c r="R178" s="6">
        <f>IF(OR(Q178="",P178=""),"",TEXT(Q178-P178,"[h]:mm"))</f>
        <v/>
      </c>
      <c r="S178" s="6">
        <f>IF(B178="","",IF(Q178&lt;&gt;"",TEXT(Q178-B178,"[h]:mm"),IF(U178&lt;&gt;"",TEXT(U178-B178,"[h]:mm"),"")))</f>
        <v/>
      </c>
      <c r="T178" s="6">
        <f>IF(OR(O178="",B178=""),"",TEXT(O178-B178,"[h]:mm"))</f>
        <v/>
      </c>
    </row>
    <row r="179">
      <c r="A179" t="inlineStr">
        <is>
          <t>ED BU</t>
        </is>
      </c>
      <c r="B179" s="3" t="n">
        <v>45721.58055555556</v>
      </c>
      <c r="C179" t="inlineStr">
        <is>
          <t>Hafiz bin Ismail</t>
        </is>
      </c>
      <c r="D179" t="inlineStr">
        <is>
          <t>Hafiz</t>
        </is>
      </c>
      <c r="E179" s="4" t="inlineStr">
        <is>
          <t>991124-07-1061</t>
        </is>
      </c>
      <c r="F179" t="inlineStr">
        <is>
          <t>MRN636044</t>
        </is>
      </c>
      <c r="G179" s="5" t="n">
        <v>26</v>
      </c>
      <c r="H179" t="inlineStr">
        <is>
          <t>Male</t>
        </is>
      </c>
      <c r="I179" t="inlineStr">
        <is>
          <t>gz</t>
        </is>
      </c>
      <c r="J179" t="inlineStr">
        <is>
          <t>bugz-waiting</t>
        </is>
      </c>
      <c r="K179" t="inlineStr">
        <is>
          <t>gz</t>
        </is>
      </c>
      <c r="L179" t="inlineStr">
        <is>
          <t>ongoingtreatment</t>
        </is>
      </c>
      <c r="N179" s="4" t="inlineStr">
        <is>
          <t>19</t>
        </is>
      </c>
      <c r="R179" s="6">
        <f>IF(OR(Q179="",P179=""),"",TEXT(Q179-P179,"[h]:mm"))</f>
        <v/>
      </c>
      <c r="S179" s="6">
        <f>IF(B179="","",IF(Q179&lt;&gt;"",TEXT(Q179-B179,"[h]:mm"),IF(U179&lt;&gt;"",TEXT(U179-B179,"[h]:mm"),"")))</f>
        <v/>
      </c>
      <c r="T179" s="6">
        <f>IF(OR(O179="",B179=""),"",TEXT(O179-B179,"[h]:mm"))</f>
        <v/>
      </c>
    </row>
    <row r="180">
      <c r="A180" t="inlineStr">
        <is>
          <t>ED BU</t>
        </is>
      </c>
      <c r="B180" s="3" t="n">
        <v>45721.58125</v>
      </c>
      <c r="C180" t="inlineStr">
        <is>
          <t>Rizal bin Hassan</t>
        </is>
      </c>
      <c r="D180" t="inlineStr">
        <is>
          <t>Rizal</t>
        </is>
      </c>
      <c r="E180" s="4" t="inlineStr">
        <is>
          <t>430204-09-6790</t>
        </is>
      </c>
      <c r="F180" t="inlineStr">
        <is>
          <t>MRN989992</t>
        </is>
      </c>
      <c r="G180" s="5" t="n">
        <v>82</v>
      </c>
      <c r="H180" t="inlineStr">
        <is>
          <t>Male</t>
        </is>
      </c>
      <c r="I180" t="inlineStr">
        <is>
          <t>gz</t>
        </is>
      </c>
      <c r="J180" t="inlineStr">
        <is>
          <t>bugz-waiting</t>
        </is>
      </c>
      <c r="K180" t="inlineStr">
        <is>
          <t>gz</t>
        </is>
      </c>
      <c r="L180" t="inlineStr">
        <is>
          <t>ongoingtreatment</t>
        </is>
      </c>
      <c r="N180" s="4" t="inlineStr">
        <is>
          <t>34</t>
        </is>
      </c>
      <c r="R180" s="6">
        <f>IF(OR(Q180="",P180=""),"",TEXT(Q180-P180,"[h]:mm"))</f>
        <v/>
      </c>
      <c r="S180" s="6">
        <f>IF(B180="","",IF(Q180&lt;&gt;"",TEXT(Q180-B180,"[h]:mm"),IF(U180&lt;&gt;"",TEXT(U180-B180,"[h]:mm"),"")))</f>
        <v/>
      </c>
      <c r="T180" s="6">
        <f>IF(OR(O180="",B180=""),"",TEXT(O180-B180,"[h]:mm"))</f>
        <v/>
      </c>
    </row>
    <row r="181">
      <c r="A181" t="inlineStr">
        <is>
          <t>ED WCC</t>
        </is>
      </c>
      <c r="B181" s="3" t="n">
        <v>45721.58263888889</v>
      </c>
      <c r="C181" t="inlineStr">
        <is>
          <t>Zainab bin Omar</t>
        </is>
      </c>
      <c r="D181" t="inlineStr">
        <is>
          <t>Zainab</t>
        </is>
      </c>
      <c r="E181" s="4" t="inlineStr">
        <is>
          <t>871209-08-1920</t>
        </is>
      </c>
      <c r="F181" t="inlineStr">
        <is>
          <t>MRN744051</t>
        </is>
      </c>
      <c r="G181" s="5" t="n">
        <v>38</v>
      </c>
      <c r="H181" t="inlineStr">
        <is>
          <t>Male</t>
        </is>
      </c>
      <c r="I181" t="inlineStr">
        <is>
          <t>gz</t>
        </is>
      </c>
      <c r="J181" t="inlineStr">
        <is>
          <t>wccgz-waiting</t>
        </is>
      </c>
      <c r="K181" t="inlineStr">
        <is>
          <t>gz</t>
        </is>
      </c>
      <c r="L181" t="inlineStr">
        <is>
          <t>ongoingtreatment</t>
        </is>
      </c>
      <c r="N181" s="4" t="inlineStr">
        <is>
          <t>20</t>
        </is>
      </c>
      <c r="R181" s="6">
        <f>IF(OR(Q181="",P181=""),"",TEXT(Q181-P181,"[h]:mm"))</f>
        <v/>
      </c>
      <c r="S181" s="6">
        <f>IF(B181="","",IF(Q181&lt;&gt;"",TEXT(Q181-B181,"[h]:mm"),IF(U181&lt;&gt;"",TEXT(U181-B181,"[h]:mm"),"")))</f>
        <v/>
      </c>
      <c r="T181" s="6">
        <f>IF(OR(O181="",B181=""),"",TEXT(O181-B181,"[h]:mm"))</f>
        <v/>
      </c>
    </row>
    <row r="182">
      <c r="A182" t="inlineStr">
        <is>
          <t>PAC WCC</t>
        </is>
      </c>
      <c r="B182" s="3" t="n">
        <v>45721.58263888889</v>
      </c>
      <c r="C182" t="inlineStr">
        <is>
          <t>Suraya binti Hassan</t>
        </is>
      </c>
      <c r="D182" t="inlineStr">
        <is>
          <t>Suraya</t>
        </is>
      </c>
      <c r="E182" s="4" t="inlineStr">
        <is>
          <t>980303-13-4500</t>
        </is>
      </c>
      <c r="F182" t="inlineStr">
        <is>
          <t>MRN232814</t>
        </is>
      </c>
      <c r="G182" s="5" t="n">
        <v>27</v>
      </c>
      <c r="H182" t="inlineStr">
        <is>
          <t>Female</t>
        </is>
      </c>
      <c r="I182" t="inlineStr">
        <is>
          <t>pac</t>
        </is>
      </c>
      <c r="J182" t="inlineStr">
        <is>
          <t>wccpac13crisis</t>
        </is>
      </c>
      <c r="K182" t="inlineStr">
        <is>
          <t>pac</t>
        </is>
      </c>
      <c r="L182" t="inlineStr">
        <is>
          <t>referred</t>
        </is>
      </c>
      <c r="M182" t="inlineStr">
        <is>
          <t>Paediatric</t>
        </is>
      </c>
      <c r="N182" s="4" t="n"/>
      <c r="R182" s="6">
        <f>IF(OR(Q182="",P182=""),"",TEXT(Q182-P182,"[h]:mm"))</f>
        <v/>
      </c>
      <c r="S182" s="6">
        <f>IF(B182="","",IF(Q182&lt;&gt;"",TEXT(Q182-B182,"[h]:mm"),IF(U182&lt;&gt;"",TEXT(U182-B182,"[h]:mm"),"")))</f>
        <v/>
      </c>
      <c r="T182" s="6">
        <f>IF(OR(O182="",B182=""),"",TEXT(O182-B182,"[h]:mm"))</f>
        <v/>
      </c>
    </row>
    <row r="183">
      <c r="A183" t="inlineStr">
        <is>
          <t>ED WCC</t>
        </is>
      </c>
      <c r="B183" s="3" t="n">
        <v>45721.58402777778</v>
      </c>
      <c r="C183" t="inlineStr">
        <is>
          <t>Amirah binti Ismail</t>
        </is>
      </c>
      <c r="D183" t="inlineStr">
        <is>
          <t>Amirah</t>
        </is>
      </c>
      <c r="E183" s="4" t="inlineStr">
        <is>
          <t>590211-08-1777</t>
        </is>
      </c>
      <c r="F183" t="inlineStr">
        <is>
          <t>MRN138638</t>
        </is>
      </c>
      <c r="G183" s="5" t="n">
        <v>66</v>
      </c>
      <c r="H183" t="inlineStr">
        <is>
          <t>Female</t>
        </is>
      </c>
      <c r="I183" t="inlineStr">
        <is>
          <t>yz</t>
        </is>
      </c>
      <c r="J183" t="inlineStr">
        <is>
          <t>wccyz03</t>
        </is>
      </c>
      <c r="K183" t="inlineStr">
        <is>
          <t>yz</t>
        </is>
      </c>
      <c r="L183" t="inlineStr">
        <is>
          <t>preadmit</t>
        </is>
      </c>
      <c r="M183" t="inlineStr">
        <is>
          <t>OMFS</t>
        </is>
      </c>
      <c r="N183" s="4" t="n"/>
      <c r="P183" s="3" t="n">
        <v>45721.61805555555</v>
      </c>
      <c r="R183" s="6">
        <f>IF(OR(Q183="",P183=""),"",TEXT(Q183-P183,"[h]:mm"))</f>
        <v/>
      </c>
      <c r="S183" s="6">
        <f>IF(B183="","",IF(Q183&lt;&gt;"",TEXT(Q183-B183,"[h]:mm"),IF(U183&lt;&gt;"",TEXT(U183-B183,"[h]:mm"),"")))</f>
        <v/>
      </c>
      <c r="T183" s="6">
        <f>IF(OR(O183="",B183=""),"",TEXT(O183-B183,"[h]:mm"))</f>
        <v/>
      </c>
    </row>
    <row r="184">
      <c r="A184" t="inlineStr">
        <is>
          <t>ED BU</t>
        </is>
      </c>
      <c r="B184" s="3" t="n">
        <v>45721.58472222222</v>
      </c>
      <c r="C184" t="inlineStr">
        <is>
          <t>Faizal bin Omar</t>
        </is>
      </c>
      <c r="D184" t="inlineStr">
        <is>
          <t>Faizal</t>
        </is>
      </c>
      <c r="E184" s="4" t="inlineStr">
        <is>
          <t>970715-06-8976</t>
        </is>
      </c>
      <c r="F184" t="inlineStr">
        <is>
          <t>MRN117206</t>
        </is>
      </c>
      <c r="G184" s="5" t="n">
        <v>28</v>
      </c>
      <c r="H184" t="inlineStr">
        <is>
          <t>Male</t>
        </is>
      </c>
      <c r="I184" t="inlineStr">
        <is>
          <t>gz</t>
        </is>
      </c>
      <c r="J184" t="inlineStr">
        <is>
          <t>bugz-waiting</t>
        </is>
      </c>
      <c r="K184" t="inlineStr">
        <is>
          <t>gz</t>
        </is>
      </c>
      <c r="L184" t="inlineStr">
        <is>
          <t>ongoingtreatment</t>
        </is>
      </c>
      <c r="N184" s="4" t="inlineStr">
        <is>
          <t>33</t>
        </is>
      </c>
      <c r="R184" s="6">
        <f>IF(OR(Q184="",P184=""),"",TEXT(Q184-P184,"[h]:mm"))</f>
        <v/>
      </c>
      <c r="S184" s="6">
        <f>IF(B184="","",IF(Q184&lt;&gt;"",TEXT(Q184-B184,"[h]:mm"),IF(U184&lt;&gt;"",TEXT(U184-B184,"[h]:mm"),"")))</f>
        <v/>
      </c>
      <c r="T184" s="6">
        <f>IF(OR(O184="",B184=""),"",TEXT(O184-B184,"[h]:mm"))</f>
        <v/>
      </c>
    </row>
    <row r="185">
      <c r="A185" t="inlineStr">
        <is>
          <t>ED WCC</t>
        </is>
      </c>
      <c r="B185" s="3" t="n">
        <v>45721.58611111111</v>
      </c>
      <c r="C185" t="inlineStr">
        <is>
          <t>Anis bin Rahman</t>
        </is>
      </c>
      <c r="D185" t="inlineStr">
        <is>
          <t>Anis</t>
        </is>
      </c>
      <c r="E185" s="4" t="inlineStr">
        <is>
          <t>230201-05-9157</t>
        </is>
      </c>
      <c r="F185" t="inlineStr">
        <is>
          <t>MRN636553</t>
        </is>
      </c>
      <c r="G185" s="5" t="n">
        <v>2</v>
      </c>
      <c r="H185" t="inlineStr">
        <is>
          <t>Male</t>
        </is>
      </c>
      <c r="I185" t="inlineStr">
        <is>
          <t>yz</t>
        </is>
      </c>
      <c r="J185" t="inlineStr">
        <is>
          <t>wccyz01</t>
        </is>
      </c>
      <c r="K185" t="inlineStr">
        <is>
          <t>yz</t>
        </is>
      </c>
      <c r="L185" t="inlineStr">
        <is>
          <t>preadmit</t>
        </is>
      </c>
      <c r="M185" t="inlineStr">
        <is>
          <t>OMFS</t>
        </is>
      </c>
      <c r="N185" s="4" t="n"/>
      <c r="P185" s="3" t="n">
        <v>45721.61805555555</v>
      </c>
      <c r="R185" s="6">
        <f>IF(OR(Q185="",P185=""),"",TEXT(Q185-P185,"[h]:mm"))</f>
        <v/>
      </c>
      <c r="S185" s="6">
        <f>IF(B185="","",IF(Q185&lt;&gt;"",TEXT(Q185-B185,"[h]:mm"),IF(U185&lt;&gt;"",TEXT(U185-B185,"[h]:mm"),"")))</f>
        <v/>
      </c>
      <c r="T185" s="6">
        <f>IF(OR(O185="",B185=""),"",TEXT(O185-B185,"[h]:mm"))</f>
        <v/>
      </c>
    </row>
    <row r="186">
      <c r="A186" t="inlineStr">
        <is>
          <t>ED BU</t>
        </is>
      </c>
      <c r="B186" s="3" t="n">
        <v>45721.58680555555</v>
      </c>
      <c r="C186" t="inlineStr">
        <is>
          <t>Amirah binti Ahmad</t>
        </is>
      </c>
      <c r="D186" t="inlineStr">
        <is>
          <t>Amirah</t>
        </is>
      </c>
      <c r="E186" s="4" t="inlineStr">
        <is>
          <t>901027-02-7754</t>
        </is>
      </c>
      <c r="F186" t="inlineStr">
        <is>
          <t>MRN968732</t>
        </is>
      </c>
      <c r="G186" s="5" t="n">
        <v>35</v>
      </c>
      <c r="H186" t="inlineStr">
        <is>
          <t>Female</t>
        </is>
      </c>
      <c r="I186" t="inlineStr">
        <is>
          <t>yz</t>
        </is>
      </c>
      <c r="J186" t="inlineStr">
        <is>
          <t>buyz24crisis</t>
        </is>
      </c>
      <c r="K186" t="inlineStr">
        <is>
          <t>yz</t>
        </is>
      </c>
      <c r="L186" t="inlineStr">
        <is>
          <t>ongoingtreatment</t>
        </is>
      </c>
      <c r="N186" s="4" t="n"/>
      <c r="R186" s="6">
        <f>IF(OR(Q186="",P186=""),"",TEXT(Q186-P186,"[h]:mm"))</f>
        <v/>
      </c>
      <c r="S186" s="6">
        <f>IF(B186="","",IF(Q186&lt;&gt;"",TEXT(Q186-B186,"[h]:mm"),IF(U186&lt;&gt;"",TEXT(U186-B186,"[h]:mm"),"")))</f>
        <v/>
      </c>
      <c r="T186" s="6">
        <f>IF(OR(O186="",B186=""),"",TEXT(O186-B186,"[h]:mm"))</f>
        <v/>
      </c>
    </row>
    <row r="187">
      <c r="A187" t="inlineStr">
        <is>
          <t>ED BU</t>
        </is>
      </c>
      <c r="B187" s="3" t="n">
        <v>45721.58958333333</v>
      </c>
      <c r="C187" t="inlineStr">
        <is>
          <t>Mohamed binti Ahmad</t>
        </is>
      </c>
      <c r="D187" t="inlineStr">
        <is>
          <t>Mohamed</t>
        </is>
      </c>
      <c r="E187" s="4" t="inlineStr">
        <is>
          <t>990808-02-0376</t>
        </is>
      </c>
      <c r="F187" t="inlineStr">
        <is>
          <t>MRN725969</t>
        </is>
      </c>
      <c r="G187" s="5" t="n">
        <v>26</v>
      </c>
      <c r="H187" t="inlineStr">
        <is>
          <t>Female</t>
        </is>
      </c>
      <c r="I187" t="inlineStr">
        <is>
          <t>yz</t>
        </is>
      </c>
      <c r="J187" t="inlineStr">
        <is>
          <t>buyz33crisis</t>
        </is>
      </c>
      <c r="K187" t="inlineStr">
        <is>
          <t>yz</t>
        </is>
      </c>
      <c r="L187" t="inlineStr">
        <is>
          <t>preadmit</t>
        </is>
      </c>
      <c r="M187" t="inlineStr">
        <is>
          <t>Medical</t>
        </is>
      </c>
      <c r="N187" s="4" t="n"/>
      <c r="P187" s="3" t="n">
        <v>45721.61805555555</v>
      </c>
      <c r="R187" s="6">
        <f>IF(OR(Q187="",P187=""),"",TEXT(Q187-P187,"[h]:mm"))</f>
        <v/>
      </c>
      <c r="S187" s="6">
        <f>IF(B187="","",IF(Q187&lt;&gt;"",TEXT(Q187-B187,"[h]:mm"),IF(U187&lt;&gt;"",TEXT(U187-B187,"[h]:mm"),"")))</f>
        <v/>
      </c>
      <c r="T187" s="6">
        <f>IF(OR(O187="",B187=""),"",TEXT(O187-B187,"[h]:mm"))</f>
        <v/>
      </c>
    </row>
    <row r="188">
      <c r="A188" t="inlineStr">
        <is>
          <t>ED BU</t>
        </is>
      </c>
      <c r="B188" s="3" t="n">
        <v>45721.59027777778</v>
      </c>
      <c r="C188" t="inlineStr">
        <is>
          <t>Amirah bin Salleh</t>
        </is>
      </c>
      <c r="D188" t="inlineStr">
        <is>
          <t>Amirah</t>
        </is>
      </c>
      <c r="E188" s="4" t="inlineStr">
        <is>
          <t>430703-11-2089</t>
        </is>
      </c>
      <c r="F188" t="inlineStr">
        <is>
          <t>MRN503017</t>
        </is>
      </c>
      <c r="G188" s="5" t="n">
        <v>82</v>
      </c>
      <c r="H188" t="inlineStr">
        <is>
          <t>Male</t>
        </is>
      </c>
      <c r="I188" t="inlineStr">
        <is>
          <t>yz</t>
        </is>
      </c>
      <c r="J188" t="inlineStr">
        <is>
          <t>buyz25crisis</t>
        </is>
      </c>
      <c r="K188" t="inlineStr">
        <is>
          <t>yz</t>
        </is>
      </c>
      <c r="L188" t="inlineStr">
        <is>
          <t>ongoingtreatment</t>
        </is>
      </c>
      <c r="N188" s="4" t="n"/>
      <c r="R188" s="6">
        <f>IF(OR(Q188="",P188=""),"",TEXT(Q188-P188,"[h]:mm"))</f>
        <v/>
      </c>
      <c r="S188" s="6">
        <f>IF(B188="","",IF(Q188&lt;&gt;"",TEXT(Q188-B188,"[h]:mm"),IF(U188&lt;&gt;"",TEXT(U188-B188,"[h]:mm"),"")))</f>
        <v/>
      </c>
      <c r="T188" s="6">
        <f>IF(OR(O188="",B188=""),"",TEXT(O188-B188,"[h]:mm"))</f>
        <v/>
      </c>
    </row>
    <row r="189">
      <c r="A189" t="inlineStr">
        <is>
          <t>ED WCC</t>
        </is>
      </c>
      <c r="B189" s="3" t="n">
        <v>45721.59097222222</v>
      </c>
      <c r="C189" t="inlineStr">
        <is>
          <t>Zuraidah binti Abdullah</t>
        </is>
      </c>
      <c r="D189" t="inlineStr">
        <is>
          <t>Zuraidah</t>
        </is>
      </c>
      <c r="E189" s="4" t="inlineStr">
        <is>
          <t>121205-05-8456</t>
        </is>
      </c>
      <c r="F189" t="inlineStr">
        <is>
          <t>MRN270342</t>
        </is>
      </c>
      <c r="G189" s="5" t="n">
        <v>13</v>
      </c>
      <c r="H189" t="inlineStr">
        <is>
          <t>Female</t>
        </is>
      </c>
      <c r="I189" t="inlineStr">
        <is>
          <t>gz</t>
        </is>
      </c>
      <c r="J189" t="inlineStr">
        <is>
          <t>wccgz-waiting</t>
        </is>
      </c>
      <c r="K189" t="inlineStr">
        <is>
          <t>gz</t>
        </is>
      </c>
      <c r="L189" t="inlineStr">
        <is>
          <t>ongoingtreatment</t>
        </is>
      </c>
      <c r="N189" s="4" t="inlineStr">
        <is>
          <t>47</t>
        </is>
      </c>
      <c r="R189" s="6">
        <f>IF(OR(Q189="",P189=""),"",TEXT(Q189-P189,"[h]:mm"))</f>
        <v/>
      </c>
      <c r="S189" s="6">
        <f>IF(B189="","",IF(Q189&lt;&gt;"",TEXT(Q189-B189,"[h]:mm"),IF(U189&lt;&gt;"",TEXT(U189-B189,"[h]:mm"),"")))</f>
        <v/>
      </c>
      <c r="T189" s="6">
        <f>IF(OR(O189="",B189=""),"",TEXT(O189-B189,"[h]:mm"))</f>
        <v/>
      </c>
    </row>
    <row r="190">
      <c r="A190" t="inlineStr">
        <is>
          <t>ED WCC</t>
        </is>
      </c>
      <c r="B190" s="3" t="n">
        <v>45721.59375</v>
      </c>
      <c r="C190" t="inlineStr">
        <is>
          <t>Rizal bin Ahmad</t>
        </is>
      </c>
      <c r="D190" t="inlineStr">
        <is>
          <t>Rizal</t>
        </is>
      </c>
      <c r="E190" s="4" t="inlineStr">
        <is>
          <t>870522-10-8374</t>
        </is>
      </c>
      <c r="F190" t="inlineStr">
        <is>
          <t>MRN815805</t>
        </is>
      </c>
      <c r="G190" s="5" t="n">
        <v>38</v>
      </c>
      <c r="H190" t="inlineStr">
        <is>
          <t>Male</t>
        </is>
      </c>
      <c r="I190" t="inlineStr">
        <is>
          <t>rz</t>
        </is>
      </c>
      <c r="J190" t="inlineStr">
        <is>
          <t>wccrz07crisis</t>
        </is>
      </c>
      <c r="K190" t="inlineStr">
        <is>
          <t>rz</t>
        </is>
      </c>
      <c r="L190" t="inlineStr">
        <is>
          <t>admitted</t>
        </is>
      </c>
      <c r="M190" t="inlineStr">
        <is>
          <t>Paediatric</t>
        </is>
      </c>
      <c r="N190" s="4" t="n"/>
      <c r="P190" s="3" t="n">
        <v>45721.61805555555</v>
      </c>
      <c r="Q190" s="3" t="n">
        <v>45721.625</v>
      </c>
      <c r="R190" s="6">
        <f>IF(OR(Q190="",P190=""),"",TEXT(Q190-P190,"[h]:mm"))</f>
        <v/>
      </c>
      <c r="S190" s="6">
        <f>IF(B190="","",IF(Q190&lt;&gt;"",TEXT(Q190-B190,"[h]:mm"),IF(U190&lt;&gt;"",TEXT(U190-B190,"[h]:mm"),"")))</f>
        <v/>
      </c>
      <c r="T190" s="6">
        <f>IF(OR(O190="",B190=""),"",TEXT(O190-B190,"[h]:mm"))</f>
        <v/>
      </c>
    </row>
    <row r="191">
      <c r="A191" t="inlineStr">
        <is>
          <t>ED WCC</t>
        </is>
      </c>
      <c r="B191" s="3" t="n">
        <v>45721.59513888889</v>
      </c>
      <c r="C191" t="inlineStr">
        <is>
          <t>Faizal bin Hassan</t>
        </is>
      </c>
      <c r="D191" t="inlineStr">
        <is>
          <t>Faizal</t>
        </is>
      </c>
      <c r="E191" s="4" t="inlineStr">
        <is>
          <t>131108-14-2437</t>
        </is>
      </c>
      <c r="F191" t="inlineStr">
        <is>
          <t>MRN914009</t>
        </is>
      </c>
      <c r="G191" s="5" t="n">
        <v>12</v>
      </c>
      <c r="H191" t="inlineStr">
        <is>
          <t>Male</t>
        </is>
      </c>
      <c r="I191" t="inlineStr">
        <is>
          <t>gz</t>
        </is>
      </c>
      <c r="J191" t="inlineStr">
        <is>
          <t>wccgz-waiting</t>
        </is>
      </c>
      <c r="K191" t="inlineStr">
        <is>
          <t>gz</t>
        </is>
      </c>
      <c r="L191" t="inlineStr">
        <is>
          <t>ongoingtreatment</t>
        </is>
      </c>
      <c r="N191" s="4" t="inlineStr">
        <is>
          <t>35</t>
        </is>
      </c>
      <c r="R191" s="6">
        <f>IF(OR(Q191="",P191=""),"",TEXT(Q191-P191,"[h]:mm"))</f>
        <v/>
      </c>
      <c r="S191" s="6">
        <f>IF(B191="","",IF(Q191&lt;&gt;"",TEXT(Q191-B191,"[h]:mm"),IF(U191&lt;&gt;"",TEXT(U191-B191,"[h]:mm"),"")))</f>
        <v/>
      </c>
      <c r="T191" s="6">
        <f>IF(OR(O191="",B191=""),"",TEXT(O191-B191,"[h]:mm"))</f>
        <v/>
      </c>
    </row>
    <row r="192">
      <c r="A192" t="inlineStr">
        <is>
          <t>ED BU</t>
        </is>
      </c>
      <c r="B192" s="3" t="n">
        <v>45721.59652777778</v>
      </c>
      <c r="C192" t="inlineStr">
        <is>
          <t>Shahril binti Zakaria</t>
        </is>
      </c>
      <c r="D192" t="inlineStr">
        <is>
          <t>Shahril</t>
        </is>
      </c>
      <c r="E192" s="4" t="inlineStr">
        <is>
          <t>440115-09-1765</t>
        </is>
      </c>
      <c r="F192" t="inlineStr">
        <is>
          <t>MRN513404</t>
        </is>
      </c>
      <c r="G192" s="5" t="n">
        <v>81</v>
      </c>
      <c r="H192" t="inlineStr">
        <is>
          <t>Female</t>
        </is>
      </c>
      <c r="I192" t="inlineStr">
        <is>
          <t>gz</t>
        </is>
      </c>
      <c r="J192" t="inlineStr">
        <is>
          <t>bugz-waiting</t>
        </is>
      </c>
      <c r="K192" t="inlineStr">
        <is>
          <t>gz</t>
        </is>
      </c>
      <c r="L192" t="inlineStr">
        <is>
          <t>ongoingtreatment</t>
        </is>
      </c>
      <c r="N192" s="4" t="inlineStr">
        <is>
          <t>25</t>
        </is>
      </c>
      <c r="R192" s="6">
        <f>IF(OR(Q192="",P192=""),"",TEXT(Q192-P192,"[h]:mm"))</f>
        <v/>
      </c>
      <c r="S192" s="6">
        <f>IF(B192="","",IF(Q192&lt;&gt;"",TEXT(Q192-B192,"[h]:mm"),IF(U192&lt;&gt;"",TEXT(U192-B192,"[h]:mm"),"")))</f>
        <v/>
      </c>
      <c r="T192" s="6">
        <f>IF(OR(O192="",B192=""),"",TEXT(O192-B192,"[h]:mm"))</f>
        <v/>
      </c>
    </row>
    <row r="193">
      <c r="A193" t="inlineStr">
        <is>
          <t>ED BU</t>
        </is>
      </c>
      <c r="B193" s="3" t="n">
        <v>45721.59652777778</v>
      </c>
      <c r="C193" t="inlineStr">
        <is>
          <t>Rohani bin Hassan</t>
        </is>
      </c>
      <c r="D193" t="inlineStr">
        <is>
          <t>Rohani</t>
        </is>
      </c>
      <c r="E193" s="4" t="inlineStr">
        <is>
          <t>641002-03-7632</t>
        </is>
      </c>
      <c r="F193" t="inlineStr">
        <is>
          <t>MRN909773</t>
        </is>
      </c>
      <c r="G193" s="5" t="n">
        <v>61</v>
      </c>
      <c r="H193" t="inlineStr">
        <is>
          <t>Male</t>
        </is>
      </c>
      <c r="I193" t="inlineStr">
        <is>
          <t>gz</t>
        </is>
      </c>
      <c r="J193" t="inlineStr">
        <is>
          <t>bugz-waiting</t>
        </is>
      </c>
      <c r="K193" t="inlineStr">
        <is>
          <t>gz</t>
        </is>
      </c>
      <c r="L193" t="inlineStr">
        <is>
          <t>ongoingtreatment</t>
        </is>
      </c>
      <c r="N193" s="4" t="inlineStr">
        <is>
          <t>39</t>
        </is>
      </c>
      <c r="R193" s="6">
        <f>IF(OR(Q193="",P193=""),"",TEXT(Q193-P193,"[h]:mm"))</f>
        <v/>
      </c>
      <c r="S193" s="6">
        <f>IF(B193="","",IF(Q193&lt;&gt;"",TEXT(Q193-B193,"[h]:mm"),IF(U193&lt;&gt;"",TEXT(U193-B193,"[h]:mm"),"")))</f>
        <v/>
      </c>
      <c r="T193" s="6">
        <f>IF(OR(O193="",B193=""),"",TEXT(O193-B193,"[h]:mm"))</f>
        <v/>
      </c>
    </row>
    <row r="194">
      <c r="A194" t="inlineStr">
        <is>
          <t>ED WCC</t>
        </is>
      </c>
      <c r="B194" s="3" t="n">
        <v>45721.59722222222</v>
      </c>
      <c r="C194" t="inlineStr">
        <is>
          <t>Nurul binti Yusof</t>
        </is>
      </c>
      <c r="D194" t="inlineStr">
        <is>
          <t>Nurul</t>
        </is>
      </c>
      <c r="E194" s="4" t="inlineStr">
        <is>
          <t>910408-10-0118</t>
        </is>
      </c>
      <c r="F194" t="inlineStr">
        <is>
          <t>MRN335695</t>
        </is>
      </c>
      <c r="G194" s="5" t="n">
        <v>34</v>
      </c>
      <c r="H194" t="inlineStr">
        <is>
          <t>Female</t>
        </is>
      </c>
      <c r="I194" t="inlineStr">
        <is>
          <t>yz</t>
        </is>
      </c>
      <c r="J194" t="inlineStr">
        <is>
          <t>wccyz06crisis</t>
        </is>
      </c>
      <c r="K194" t="inlineStr">
        <is>
          <t>yz</t>
        </is>
      </c>
      <c r="L194" t="inlineStr">
        <is>
          <t>preadmit</t>
        </is>
      </c>
      <c r="M194" t="inlineStr">
        <is>
          <t>OMFS</t>
        </is>
      </c>
      <c r="N194" s="4" t="n"/>
      <c r="P194" s="3" t="n">
        <v>45721.61805555555</v>
      </c>
      <c r="R194" s="6">
        <f>IF(OR(Q194="",P194=""),"",TEXT(Q194-P194,"[h]:mm"))</f>
        <v/>
      </c>
      <c r="S194" s="6">
        <f>IF(B194="","",IF(Q194&lt;&gt;"",TEXT(Q194-B194,"[h]:mm"),IF(U194&lt;&gt;"",TEXT(U194-B194,"[h]:mm"),"")))</f>
        <v/>
      </c>
      <c r="T194" s="6">
        <f>IF(OR(O194="",B194=""),"",TEXT(O194-B194,"[h]:mm"))</f>
        <v/>
      </c>
    </row>
    <row r="195">
      <c r="A195" t="inlineStr">
        <is>
          <t>ED WCC</t>
        </is>
      </c>
      <c r="B195" s="3" t="n">
        <v>45721.59791666667</v>
      </c>
      <c r="C195" t="inlineStr">
        <is>
          <t>Syed binti Ahmad</t>
        </is>
      </c>
      <c r="D195" t="inlineStr">
        <is>
          <t>Syed</t>
        </is>
      </c>
      <c r="E195" s="4" t="inlineStr">
        <is>
          <t>180618-13-6307</t>
        </is>
      </c>
      <c r="F195" t="inlineStr">
        <is>
          <t>MRN111977</t>
        </is>
      </c>
      <c r="G195" s="5" t="n">
        <v>7</v>
      </c>
      <c r="H195" t="inlineStr">
        <is>
          <t>Female</t>
        </is>
      </c>
      <c r="I195" t="inlineStr">
        <is>
          <t>gz</t>
        </is>
      </c>
      <c r="J195" t="inlineStr">
        <is>
          <t>wccgz-waiting</t>
        </is>
      </c>
      <c r="K195" t="inlineStr">
        <is>
          <t>gz</t>
        </is>
      </c>
      <c r="L195" t="inlineStr">
        <is>
          <t>ongoingtreatment</t>
        </is>
      </c>
      <c r="N195" s="4" t="inlineStr">
        <is>
          <t>24</t>
        </is>
      </c>
      <c r="R195" s="6">
        <f>IF(OR(Q195="",P195=""),"",TEXT(Q195-P195,"[h]:mm"))</f>
        <v/>
      </c>
      <c r="S195" s="6">
        <f>IF(B195="","",IF(Q195&lt;&gt;"",TEXT(Q195-B195,"[h]:mm"),IF(U195&lt;&gt;"",TEXT(U195-B195,"[h]:mm"),"")))</f>
        <v/>
      </c>
      <c r="T195" s="6">
        <f>IF(OR(O195="",B195=""),"",TEXT(O195-B195,"[h]:mm"))</f>
        <v/>
      </c>
    </row>
    <row r="196">
      <c r="A196" t="inlineStr">
        <is>
          <t>ED BU</t>
        </is>
      </c>
      <c r="B196" s="3" t="n">
        <v>45721.59861111111</v>
      </c>
      <c r="C196" t="inlineStr">
        <is>
          <t>Siti bin Yusof</t>
        </is>
      </c>
      <c r="D196" t="inlineStr">
        <is>
          <t>Siti</t>
        </is>
      </c>
      <c r="E196" s="4" t="inlineStr">
        <is>
          <t>820819-09-5412</t>
        </is>
      </c>
      <c r="F196" t="inlineStr">
        <is>
          <t>MRN755666</t>
        </is>
      </c>
      <c r="G196" s="5" t="n">
        <v>43</v>
      </c>
      <c r="H196" t="inlineStr">
        <is>
          <t>Male</t>
        </is>
      </c>
      <c r="I196" t="inlineStr">
        <is>
          <t>yz</t>
        </is>
      </c>
      <c r="J196" t="inlineStr">
        <is>
          <t>buyz49crisis</t>
        </is>
      </c>
      <c r="K196" t="inlineStr">
        <is>
          <t>yz</t>
        </is>
      </c>
      <c r="L196" t="inlineStr">
        <is>
          <t>ongoingtreatment</t>
        </is>
      </c>
      <c r="N196" s="4" t="n"/>
      <c r="R196" s="6">
        <f>IF(OR(Q196="",P196=""),"",TEXT(Q196-P196,"[h]:mm"))</f>
        <v/>
      </c>
      <c r="S196" s="6">
        <f>IF(B196="","",IF(Q196&lt;&gt;"",TEXT(Q196-B196,"[h]:mm"),IF(U196&lt;&gt;"",TEXT(U196-B196,"[h]:mm"),"")))</f>
        <v/>
      </c>
      <c r="T196" s="6">
        <f>IF(OR(O196="",B196=""),"",TEXT(O196-B196,"[h]:mm"))</f>
        <v/>
      </c>
    </row>
    <row r="197">
      <c r="A197" t="inlineStr">
        <is>
          <t>ED BU</t>
        </is>
      </c>
      <c r="B197" s="3" t="n">
        <v>45721.59930555556</v>
      </c>
      <c r="C197" t="inlineStr">
        <is>
          <t>Helmi bin Ibrahim</t>
        </is>
      </c>
      <c r="D197" t="inlineStr">
        <is>
          <t>Helmi</t>
        </is>
      </c>
      <c r="E197" s="4" t="inlineStr">
        <is>
          <t>960108-07-4526</t>
        </is>
      </c>
      <c r="F197" t="inlineStr">
        <is>
          <t>MRN330034</t>
        </is>
      </c>
      <c r="G197" s="5" t="n">
        <v>29</v>
      </c>
      <c r="H197" t="inlineStr">
        <is>
          <t>Male</t>
        </is>
      </c>
      <c r="I197" t="inlineStr">
        <is>
          <t>rz</t>
        </is>
      </c>
      <c r="J197" t="inlineStr">
        <is>
          <t>burz11crisis</t>
        </is>
      </c>
      <c r="K197" t="inlineStr">
        <is>
          <t>rz</t>
        </is>
      </c>
      <c r="L197" t="inlineStr">
        <is>
          <t>ongoingtreatment</t>
        </is>
      </c>
      <c r="N197" s="4" t="n"/>
      <c r="R197" s="6">
        <f>IF(OR(Q197="",P197=""),"",TEXT(Q197-P197,"[h]:mm"))</f>
        <v/>
      </c>
      <c r="S197" s="6">
        <f>IF(B197="","",IF(Q197&lt;&gt;"",TEXT(Q197-B197,"[h]:mm"),IF(U197&lt;&gt;"",TEXT(U197-B197,"[h]:mm"),"")))</f>
        <v/>
      </c>
      <c r="T197" s="6">
        <f>IF(OR(O197="",B197=""),"",TEXT(O197-B197,"[h]:mm"))</f>
        <v/>
      </c>
    </row>
    <row r="198">
      <c r="A198" t="inlineStr">
        <is>
          <t>ED BU</t>
        </is>
      </c>
      <c r="B198" s="3" t="n">
        <v>45721.59930555556</v>
      </c>
      <c r="C198" t="inlineStr">
        <is>
          <t>Faizal binti Hassan</t>
        </is>
      </c>
      <c r="D198" t="inlineStr">
        <is>
          <t>Faizal</t>
        </is>
      </c>
      <c r="E198" s="4" t="inlineStr">
        <is>
          <t>660904-06-1041</t>
        </is>
      </c>
      <c r="F198" t="inlineStr">
        <is>
          <t>MRN692573</t>
        </is>
      </c>
      <c r="G198" s="5" t="n">
        <v>59</v>
      </c>
      <c r="H198" t="inlineStr">
        <is>
          <t>Female</t>
        </is>
      </c>
      <c r="I198" t="inlineStr">
        <is>
          <t>gz</t>
        </is>
      </c>
      <c r="J198" t="inlineStr">
        <is>
          <t>bugz-waiting</t>
        </is>
      </c>
      <c r="K198" t="inlineStr">
        <is>
          <t>gz</t>
        </is>
      </c>
      <c r="L198" t="inlineStr">
        <is>
          <t>ongoingtreatment</t>
        </is>
      </c>
      <c r="N198" s="4" t="inlineStr">
        <is>
          <t>15</t>
        </is>
      </c>
      <c r="R198" s="6">
        <f>IF(OR(Q198="",P198=""),"",TEXT(Q198-P198,"[h]:mm"))</f>
        <v/>
      </c>
      <c r="S198" s="6">
        <f>IF(B198="","",IF(Q198&lt;&gt;"",TEXT(Q198-B198,"[h]:mm"),IF(U198&lt;&gt;"",TEXT(U198-B198,"[h]:mm"),"")))</f>
        <v/>
      </c>
      <c r="T198" s="6">
        <f>IF(OR(O198="",B198=""),"",TEXT(O198-B198,"[h]:mm"))</f>
        <v/>
      </c>
    </row>
    <row r="199">
      <c r="A199" t="inlineStr">
        <is>
          <t>ED WCC</t>
        </is>
      </c>
      <c r="B199" s="3" t="n">
        <v>45721.60208333333</v>
      </c>
      <c r="C199" t="inlineStr">
        <is>
          <t>Aisyah bin Mohamed</t>
        </is>
      </c>
      <c r="D199" t="inlineStr">
        <is>
          <t>Aisyah</t>
        </is>
      </c>
      <c r="E199" s="4" t="inlineStr">
        <is>
          <t>140126-13-9924</t>
        </is>
      </c>
      <c r="F199" t="inlineStr">
        <is>
          <t>MRN400004</t>
        </is>
      </c>
      <c r="G199" s="5" t="n">
        <v>11</v>
      </c>
      <c r="H199" t="inlineStr">
        <is>
          <t>Male</t>
        </is>
      </c>
      <c r="I199" t="inlineStr">
        <is>
          <t>rz</t>
        </is>
      </c>
      <c r="J199" t="inlineStr">
        <is>
          <t>wccrz06crisis</t>
        </is>
      </c>
      <c r="K199" t="inlineStr">
        <is>
          <t>rz</t>
        </is>
      </c>
      <c r="L199" t="inlineStr">
        <is>
          <t>admitted</t>
        </is>
      </c>
      <c r="M199" t="inlineStr">
        <is>
          <t>Paediatric Dental</t>
        </is>
      </c>
      <c r="N199" s="4" t="n"/>
      <c r="P199" s="3" t="n">
        <v>45721.61805555555</v>
      </c>
      <c r="Q199" s="3" t="n">
        <v>45721.625</v>
      </c>
      <c r="R199" s="6">
        <f>IF(OR(Q199="",P199=""),"",TEXT(Q199-P199,"[h]:mm"))</f>
        <v/>
      </c>
      <c r="S199" s="6">
        <f>IF(B199="","",IF(Q199&lt;&gt;"",TEXT(Q199-B199,"[h]:mm"),IF(U199&lt;&gt;"",TEXT(U199-B199,"[h]:mm"),"")))</f>
        <v/>
      </c>
      <c r="T199" s="6">
        <f>IF(OR(O199="",B199=""),"",TEXT(O199-B199,"[h]:mm"))</f>
        <v/>
      </c>
    </row>
    <row r="200">
      <c r="A200" t="inlineStr">
        <is>
          <t>ED BU</t>
        </is>
      </c>
      <c r="B200" s="3" t="n">
        <v>45721.60347222222</v>
      </c>
      <c r="C200" t="inlineStr">
        <is>
          <t>Danial bin Salleh</t>
        </is>
      </c>
      <c r="D200" t="inlineStr">
        <is>
          <t>Danial</t>
        </is>
      </c>
      <c r="E200" s="4" t="inlineStr">
        <is>
          <t>420918-06-4452</t>
        </is>
      </c>
      <c r="F200" t="inlineStr">
        <is>
          <t>MRN529627</t>
        </is>
      </c>
      <c r="G200" s="5" t="n">
        <v>83</v>
      </c>
      <c r="H200" t="inlineStr">
        <is>
          <t>Male</t>
        </is>
      </c>
      <c r="I200" t="inlineStr">
        <is>
          <t>gz</t>
        </is>
      </c>
      <c r="J200" t="inlineStr">
        <is>
          <t>bugz-waiting</t>
        </is>
      </c>
      <c r="K200" t="inlineStr">
        <is>
          <t>gz</t>
        </is>
      </c>
      <c r="L200" t="inlineStr">
        <is>
          <t>ongoingtreatment</t>
        </is>
      </c>
      <c r="N200" s="4" t="inlineStr">
        <is>
          <t>17</t>
        </is>
      </c>
      <c r="R200" s="6">
        <f>IF(OR(Q200="",P200=""),"",TEXT(Q200-P200,"[h]:mm"))</f>
        <v/>
      </c>
      <c r="S200" s="6">
        <f>IF(B200="","",IF(Q200&lt;&gt;"",TEXT(Q200-B200,"[h]:mm"),IF(U200&lt;&gt;"",TEXT(U200-B200,"[h]:mm"),"")))</f>
        <v/>
      </c>
      <c r="T200" s="6">
        <f>IF(OR(O200="",B200=""),"",TEXT(O200-B200,"[h]:mm"))</f>
        <v/>
      </c>
    </row>
    <row r="201">
      <c r="A201" t="inlineStr">
        <is>
          <t>ED WCC</t>
        </is>
      </c>
      <c r="B201" s="3" t="n">
        <v>45721.60486111111</v>
      </c>
      <c r="C201" t="inlineStr">
        <is>
          <t>Rizal bin Zakaria</t>
        </is>
      </c>
      <c r="D201" t="inlineStr">
        <is>
          <t>Rizal</t>
        </is>
      </c>
      <c r="E201" s="4" t="inlineStr">
        <is>
          <t>760515-13-4852</t>
        </is>
      </c>
      <c r="F201" t="inlineStr">
        <is>
          <t>MRN387633</t>
        </is>
      </c>
      <c r="G201" s="5" t="n">
        <v>49</v>
      </c>
      <c r="H201" t="inlineStr">
        <is>
          <t>Male</t>
        </is>
      </c>
      <c r="I201" t="inlineStr">
        <is>
          <t>gz</t>
        </is>
      </c>
      <c r="J201" t="inlineStr">
        <is>
          <t>wccgz-waiting</t>
        </is>
      </c>
      <c r="K201" t="inlineStr">
        <is>
          <t>gz</t>
        </is>
      </c>
      <c r="L201" t="inlineStr">
        <is>
          <t>ongoingtreatment</t>
        </is>
      </c>
      <c r="N201" s="4" t="inlineStr">
        <is>
          <t>50</t>
        </is>
      </c>
      <c r="R201" s="6">
        <f>IF(OR(Q201="",P201=""),"",TEXT(Q201-P201,"[h]:mm"))</f>
        <v/>
      </c>
      <c r="S201" s="6">
        <f>IF(B201="","",IF(Q201&lt;&gt;"",TEXT(Q201-B201,"[h]:mm"),IF(U201&lt;&gt;"",TEXT(U201-B201,"[h]:mm"),"")))</f>
        <v/>
      </c>
      <c r="T201" s="6">
        <f>IF(OR(O201="",B201=""),"",TEXT(O201-B201,"[h]:mm"))</f>
        <v/>
      </c>
    </row>
    <row r="202">
      <c r="A202" t="inlineStr">
        <is>
          <t>ED BU</t>
        </is>
      </c>
      <c r="B202" s="3" t="n">
        <v>45721.60555555556</v>
      </c>
      <c r="C202" t="inlineStr">
        <is>
          <t>Hasnah binti Omar</t>
        </is>
      </c>
      <c r="D202" t="inlineStr">
        <is>
          <t>Hasnah</t>
        </is>
      </c>
      <c r="E202" s="4" t="inlineStr">
        <is>
          <t>580323-11-3650</t>
        </is>
      </c>
      <c r="F202" t="inlineStr">
        <is>
          <t>MRN103789</t>
        </is>
      </c>
      <c r="G202" s="5" t="n">
        <v>67</v>
      </c>
      <c r="H202" t="inlineStr">
        <is>
          <t>Female</t>
        </is>
      </c>
      <c r="I202" t="inlineStr">
        <is>
          <t>gz</t>
        </is>
      </c>
      <c r="J202" t="inlineStr">
        <is>
          <t>bugz-waiting</t>
        </is>
      </c>
      <c r="K202" t="inlineStr">
        <is>
          <t>gz</t>
        </is>
      </c>
      <c r="L202" t="inlineStr">
        <is>
          <t>ongoingtreatment</t>
        </is>
      </c>
      <c r="N202" s="4" t="inlineStr">
        <is>
          <t>23</t>
        </is>
      </c>
      <c r="R202" s="6">
        <f>IF(OR(Q202="",P202=""),"",TEXT(Q202-P202,"[h]:mm"))</f>
        <v/>
      </c>
      <c r="S202" s="6">
        <f>IF(B202="","",IF(Q202&lt;&gt;"",TEXT(Q202-B202,"[h]:mm"),IF(U202&lt;&gt;"",TEXT(U202-B202,"[h]:mm"),"")))</f>
        <v/>
      </c>
      <c r="T202" s="6">
        <f>IF(OR(O202="",B202=""),"",TEXT(O202-B202,"[h]:mm"))</f>
        <v/>
      </c>
    </row>
    <row r="203">
      <c r="A203" t="inlineStr">
        <is>
          <t>ED WCC</t>
        </is>
      </c>
      <c r="B203" s="3" t="n">
        <v>45721.60694444444</v>
      </c>
      <c r="C203" t="inlineStr">
        <is>
          <t>Faizal binti Hassan</t>
        </is>
      </c>
      <c r="D203" t="inlineStr">
        <is>
          <t>Faizal</t>
        </is>
      </c>
      <c r="E203" s="4" t="inlineStr">
        <is>
          <t>150904-03-9043</t>
        </is>
      </c>
      <c r="F203" t="inlineStr">
        <is>
          <t>MRN742525</t>
        </is>
      </c>
      <c r="G203" s="5" t="n">
        <v>10</v>
      </c>
      <c r="H203" t="inlineStr">
        <is>
          <t>Female</t>
        </is>
      </c>
      <c r="I203" t="inlineStr">
        <is>
          <t>gz</t>
        </is>
      </c>
      <c r="J203" t="inlineStr">
        <is>
          <t>wccgz02</t>
        </is>
      </c>
      <c r="K203" t="inlineStr">
        <is>
          <t>gz</t>
        </is>
      </c>
      <c r="L203" t="inlineStr">
        <is>
          <t>ongoingtreatment</t>
        </is>
      </c>
      <c r="N203" s="4" t="inlineStr">
        <is>
          <t>188</t>
        </is>
      </c>
      <c r="R203" s="6">
        <f>IF(OR(Q203="",P203=""),"",TEXT(Q203-P203,"[h]:mm"))</f>
        <v/>
      </c>
      <c r="S203" s="6">
        <f>IF(B203="","",IF(Q203&lt;&gt;"",TEXT(Q203-B203,"[h]:mm"),IF(U203&lt;&gt;"",TEXT(U203-B203,"[h]:mm"),"")))</f>
        <v/>
      </c>
      <c r="T203" s="6">
        <f>IF(OR(O203="",B203=""),"",TEXT(O203-B203,"[h]:mm"))</f>
        <v/>
      </c>
    </row>
    <row r="204">
      <c r="A204" t="inlineStr">
        <is>
          <t>ED BU</t>
        </is>
      </c>
      <c r="B204" s="3" t="n">
        <v>45721.60763888889</v>
      </c>
      <c r="C204" t="inlineStr">
        <is>
          <t>Siti binti Rahman</t>
        </is>
      </c>
      <c r="D204" t="inlineStr">
        <is>
          <t>Siti</t>
        </is>
      </c>
      <c r="E204" s="4" t="inlineStr">
        <is>
          <t>821115-11-0347</t>
        </is>
      </c>
      <c r="F204" t="inlineStr">
        <is>
          <t>MRN229884</t>
        </is>
      </c>
      <c r="G204" s="5" t="n">
        <v>43</v>
      </c>
      <c r="H204" t="inlineStr">
        <is>
          <t>Female</t>
        </is>
      </c>
      <c r="I204" t="inlineStr">
        <is>
          <t>yz</t>
        </is>
      </c>
      <c r="J204" t="inlineStr">
        <is>
          <t>buyz12</t>
        </is>
      </c>
      <c r="K204" t="inlineStr">
        <is>
          <t>yz</t>
        </is>
      </c>
      <c r="L204" t="inlineStr">
        <is>
          <t>discharge</t>
        </is>
      </c>
      <c r="N204" s="4" t="n"/>
      <c r="R204" s="6">
        <f>IF(OR(Q204="",P204=""),"",TEXT(Q204-P204,"[h]:mm"))</f>
        <v/>
      </c>
      <c r="S204" s="6">
        <f>IF(B204="","",IF(Q204&lt;&gt;"",TEXT(Q204-B204,"[h]:mm"),IF(U204&lt;&gt;"",TEXT(U204-B204,"[h]:mm"),"")))</f>
        <v/>
      </c>
      <c r="T204" s="6">
        <f>IF(OR(O204="",B204=""),"",TEXT(O204-B204,"[h]:mm"))</f>
        <v/>
      </c>
      <c r="U204" s="3" t="n">
        <v>45721.625</v>
      </c>
    </row>
    <row r="205">
      <c r="A205" t="inlineStr">
        <is>
          <t>ED BU</t>
        </is>
      </c>
      <c r="B205" s="3" t="n">
        <v>45721.60833333333</v>
      </c>
      <c r="C205" t="inlineStr">
        <is>
          <t>Hafizah binti Ibrahim</t>
        </is>
      </c>
      <c r="D205" t="inlineStr">
        <is>
          <t>Hafizah</t>
        </is>
      </c>
      <c r="E205" s="4" t="inlineStr">
        <is>
          <t>970601-01-5856</t>
        </is>
      </c>
      <c r="F205" t="inlineStr">
        <is>
          <t>MRN288042</t>
        </is>
      </c>
      <c r="G205" s="5" t="n">
        <v>28</v>
      </c>
      <c r="H205" t="inlineStr">
        <is>
          <t>Female</t>
        </is>
      </c>
      <c r="I205" t="inlineStr">
        <is>
          <t>rz</t>
        </is>
      </c>
      <c r="J205" t="inlineStr">
        <is>
          <t>burz09crisis</t>
        </is>
      </c>
      <c r="K205" t="inlineStr">
        <is>
          <t>rz</t>
        </is>
      </c>
      <c r="L205" t="inlineStr">
        <is>
          <t>preadmit</t>
        </is>
      </c>
      <c r="M205" t="inlineStr">
        <is>
          <t>Medical</t>
        </is>
      </c>
      <c r="N205" s="4" t="n"/>
      <c r="P205" s="3" t="n">
        <v>45721.61805555555</v>
      </c>
      <c r="R205" s="6">
        <f>IF(OR(Q205="",P205=""),"",TEXT(Q205-P205,"[h]:mm"))</f>
        <v/>
      </c>
      <c r="S205" s="6">
        <f>IF(B205="","",IF(Q205&lt;&gt;"",TEXT(Q205-B205,"[h]:mm"),IF(U205&lt;&gt;"",TEXT(U205-B205,"[h]:mm"),"")))</f>
        <v/>
      </c>
      <c r="T205" s="6">
        <f>IF(OR(O205="",B205=""),"",TEXT(O205-B205,"[h]:mm"))</f>
        <v/>
      </c>
    </row>
    <row r="206">
      <c r="A206" t="inlineStr">
        <is>
          <t>ED BU</t>
        </is>
      </c>
      <c r="B206" s="3" t="n">
        <v>45721.60833333333</v>
      </c>
      <c r="C206" t="inlineStr">
        <is>
          <t>Danial binti Ismail</t>
        </is>
      </c>
      <c r="D206" t="inlineStr">
        <is>
          <t>Danial</t>
        </is>
      </c>
      <c r="E206" s="4" t="inlineStr">
        <is>
          <t>560223-06-1894</t>
        </is>
      </c>
      <c r="F206" t="inlineStr">
        <is>
          <t>MRN408747</t>
        </is>
      </c>
      <c r="G206" s="5" t="n">
        <v>69</v>
      </c>
      <c r="H206" t="inlineStr">
        <is>
          <t>Female</t>
        </is>
      </c>
      <c r="I206" t="inlineStr">
        <is>
          <t>gz</t>
        </is>
      </c>
      <c r="J206" t="inlineStr">
        <is>
          <t>bugz-waiting</t>
        </is>
      </c>
      <c r="K206" t="inlineStr">
        <is>
          <t>gz</t>
        </is>
      </c>
      <c r="L206" t="inlineStr">
        <is>
          <t>ongoingtreatment</t>
        </is>
      </c>
      <c r="N206" s="4" t="inlineStr">
        <is>
          <t>38</t>
        </is>
      </c>
      <c r="R206" s="6">
        <f>IF(OR(Q206="",P206=""),"",TEXT(Q206-P206,"[h]:mm"))</f>
        <v/>
      </c>
      <c r="S206" s="6">
        <f>IF(B206="","",IF(Q206&lt;&gt;"",TEXT(Q206-B206,"[h]:mm"),IF(U206&lt;&gt;"",TEXT(U206-B206,"[h]:mm"),"")))</f>
        <v/>
      </c>
      <c r="T206" s="6">
        <f>IF(OR(O206="",B206=""),"",TEXT(O206-B206,"[h]:mm"))</f>
        <v/>
      </c>
    </row>
    <row r="207">
      <c r="A207" t="inlineStr">
        <is>
          <t>ED WCC</t>
        </is>
      </c>
      <c r="B207" s="3" t="n">
        <v>45721.61111111111</v>
      </c>
      <c r="C207" t="inlineStr">
        <is>
          <t>Azman bin Abdullah</t>
        </is>
      </c>
      <c r="D207" t="inlineStr">
        <is>
          <t>Azman</t>
        </is>
      </c>
      <c r="E207" s="4" t="inlineStr">
        <is>
          <t>210915-12-8125</t>
        </is>
      </c>
      <c r="F207" t="inlineStr">
        <is>
          <t>MRN624487</t>
        </is>
      </c>
      <c r="G207" s="5" t="n">
        <v>4</v>
      </c>
      <c r="H207" t="inlineStr">
        <is>
          <t>Male</t>
        </is>
      </c>
      <c r="I207" t="inlineStr">
        <is>
          <t>gz</t>
        </is>
      </c>
      <c r="J207" t="inlineStr">
        <is>
          <t>wccgz-waiting</t>
        </is>
      </c>
      <c r="K207" t="inlineStr">
        <is>
          <t>gz</t>
        </is>
      </c>
      <c r="L207" t="inlineStr">
        <is>
          <t>ongoingtreatment</t>
        </is>
      </c>
      <c r="N207" s="4" t="inlineStr">
        <is>
          <t>21</t>
        </is>
      </c>
      <c r="R207" s="6">
        <f>IF(OR(Q207="",P207=""),"",TEXT(Q207-P207,"[h]:mm"))</f>
        <v/>
      </c>
      <c r="S207" s="6">
        <f>IF(B207="","",IF(Q207&lt;&gt;"",TEXT(Q207-B207,"[h]:mm"),IF(U207&lt;&gt;"",TEXT(U207-B207,"[h]:mm"),"")))</f>
        <v/>
      </c>
      <c r="T207" s="6">
        <f>IF(OR(O207="",B207=""),"",TEXT(O207-B207,"[h]:mm"))</f>
        <v/>
      </c>
    </row>
    <row r="208">
      <c r="A208" t="inlineStr">
        <is>
          <t>ED WCC</t>
        </is>
      </c>
      <c r="B208" s="3" t="n">
        <v>45721.6125</v>
      </c>
      <c r="C208" t="inlineStr">
        <is>
          <t>Hasnah binti Ahmad</t>
        </is>
      </c>
      <c r="D208" t="inlineStr">
        <is>
          <t>Hasnah</t>
        </is>
      </c>
      <c r="E208" s="4" t="inlineStr">
        <is>
          <t>180801-11-3770</t>
        </is>
      </c>
      <c r="F208" t="inlineStr">
        <is>
          <t>MRN177726</t>
        </is>
      </c>
      <c r="G208" s="5" t="n">
        <v>7</v>
      </c>
      <c r="H208" t="inlineStr">
        <is>
          <t>Female</t>
        </is>
      </c>
      <c r="I208" t="inlineStr">
        <is>
          <t>gz</t>
        </is>
      </c>
      <c r="J208" t="inlineStr">
        <is>
          <t>wccgz-waiting</t>
        </is>
      </c>
      <c r="K208" t="inlineStr">
        <is>
          <t>gz</t>
        </is>
      </c>
      <c r="L208" t="inlineStr">
        <is>
          <t>ongoingtreatment</t>
        </is>
      </c>
      <c r="N208" s="4" t="inlineStr">
        <is>
          <t>12</t>
        </is>
      </c>
      <c r="R208" s="6">
        <f>IF(OR(Q208="",P208=""),"",TEXT(Q208-P208,"[h]:mm"))</f>
        <v/>
      </c>
      <c r="S208" s="6">
        <f>IF(B208="","",IF(Q208&lt;&gt;"",TEXT(Q208-B208,"[h]:mm"),IF(U208&lt;&gt;"",TEXT(U208-B208,"[h]:mm"),"")))</f>
        <v/>
      </c>
      <c r="T208" s="6">
        <f>IF(OR(O208="",B208=""),"",TEXT(O208-B208,"[h]:mm"))</f>
        <v/>
      </c>
    </row>
    <row r="209">
      <c r="A209" t="inlineStr">
        <is>
          <t>ED WCC</t>
        </is>
      </c>
      <c r="B209" s="3" t="n">
        <v>45721.61319444444</v>
      </c>
      <c r="C209" t="inlineStr">
        <is>
          <t>Rohani binti Ibrahim</t>
        </is>
      </c>
      <c r="D209" t="inlineStr">
        <is>
          <t>Rohani</t>
        </is>
      </c>
      <c r="E209" s="4" t="inlineStr">
        <is>
          <t>080401-08-5618</t>
        </is>
      </c>
      <c r="F209" t="inlineStr">
        <is>
          <t>MRN853103</t>
        </is>
      </c>
      <c r="G209" s="5" t="n">
        <v>17</v>
      </c>
      <c r="H209" t="inlineStr">
        <is>
          <t>Female</t>
        </is>
      </c>
      <c r="I209" t="inlineStr">
        <is>
          <t>gz</t>
        </is>
      </c>
      <c r="J209" t="inlineStr">
        <is>
          <t>wccgz-waiting</t>
        </is>
      </c>
      <c r="K209" t="inlineStr">
        <is>
          <t>gz</t>
        </is>
      </c>
      <c r="L209" t="inlineStr">
        <is>
          <t>ongoingtreatment</t>
        </is>
      </c>
      <c r="N209" s="4" t="inlineStr">
        <is>
          <t>1</t>
        </is>
      </c>
      <c r="R209" s="6">
        <f>IF(OR(Q209="",P209=""),"",TEXT(Q209-P209,"[h]:mm"))</f>
        <v/>
      </c>
      <c r="S209" s="6">
        <f>IF(B209="","",IF(Q209&lt;&gt;"",TEXT(Q209-B209,"[h]:mm"),IF(U209&lt;&gt;"",TEXT(U209-B209,"[h]:mm"),"")))</f>
        <v/>
      </c>
      <c r="T209" s="6">
        <f>IF(OR(O209="",B209=""),"",TEXT(O209-B209,"[h]:mm"))</f>
        <v/>
      </c>
    </row>
    <row r="210">
      <c r="A210" t="inlineStr">
        <is>
          <t>ED WCC</t>
        </is>
      </c>
      <c r="B210" s="3" t="n">
        <v>45721.61319444444</v>
      </c>
      <c r="C210" t="inlineStr">
        <is>
          <t>Siti bin Yusof</t>
        </is>
      </c>
      <c r="D210" t="inlineStr">
        <is>
          <t>Siti</t>
        </is>
      </c>
      <c r="E210" s="4" t="inlineStr">
        <is>
          <t>691004-13-2168</t>
        </is>
      </c>
      <c r="F210" t="inlineStr">
        <is>
          <t>MRN906967</t>
        </is>
      </c>
      <c r="G210" s="5" t="n">
        <v>56</v>
      </c>
      <c r="H210" t="inlineStr">
        <is>
          <t>Male</t>
        </is>
      </c>
      <c r="I210" t="inlineStr">
        <is>
          <t>gz</t>
        </is>
      </c>
      <c r="J210" t="inlineStr">
        <is>
          <t>wccgz-waiting</t>
        </is>
      </c>
      <c r="K210" t="inlineStr">
        <is>
          <t>gz</t>
        </is>
      </c>
      <c r="L210" t="inlineStr">
        <is>
          <t>ongoingtreatment</t>
        </is>
      </c>
      <c r="N210" s="4" t="inlineStr">
        <is>
          <t>11</t>
        </is>
      </c>
      <c r="R210" s="6">
        <f>IF(OR(Q210="",P210=""),"",TEXT(Q210-P210,"[h]:mm"))</f>
        <v/>
      </c>
      <c r="S210" s="6">
        <f>IF(B210="","",IF(Q210&lt;&gt;"",TEXT(Q210-B210,"[h]:mm"),IF(U210&lt;&gt;"",TEXT(U210-B210,"[h]:mm"),"")))</f>
        <v/>
      </c>
      <c r="T210" s="6">
        <f>IF(OR(O210="",B210=""),"",TEXT(O210-B210,"[h]:mm"))</f>
        <v/>
      </c>
    </row>
    <row r="211">
      <c r="A211" t="inlineStr">
        <is>
          <t>ED WCC</t>
        </is>
      </c>
      <c r="B211" s="3" t="n">
        <v>45721.61319444444</v>
      </c>
      <c r="C211" t="inlineStr">
        <is>
          <t>Hasnah binti Mohamed</t>
        </is>
      </c>
      <c r="D211" t="inlineStr">
        <is>
          <t>Hasnah</t>
        </is>
      </c>
      <c r="E211" s="4" t="inlineStr">
        <is>
          <t>780722-06-2073</t>
        </is>
      </c>
      <c r="F211" t="inlineStr">
        <is>
          <t>MRN164377</t>
        </is>
      </c>
      <c r="G211" s="5" t="n">
        <v>47</v>
      </c>
      <c r="H211" t="inlineStr">
        <is>
          <t>Female</t>
        </is>
      </c>
      <c r="I211" t="inlineStr">
        <is>
          <t>gz</t>
        </is>
      </c>
      <c r="J211" t="inlineStr">
        <is>
          <t>wccgz-waiting</t>
        </is>
      </c>
      <c r="K211" t="inlineStr">
        <is>
          <t>gz</t>
        </is>
      </c>
      <c r="L211" t="inlineStr">
        <is>
          <t>ongoingtreatment</t>
        </is>
      </c>
      <c r="N211" s="4" t="inlineStr">
        <is>
          <t>17</t>
        </is>
      </c>
      <c r="R211" s="6">
        <f>IF(OR(Q211="",P211=""),"",TEXT(Q211-P211,"[h]:mm"))</f>
        <v/>
      </c>
      <c r="S211" s="6">
        <f>IF(B211="","",IF(Q211&lt;&gt;"",TEXT(Q211-B211,"[h]:mm"),IF(U211&lt;&gt;"",TEXT(U211-B211,"[h]:mm"),"")))</f>
        <v/>
      </c>
      <c r="T211" s="6">
        <f>IF(OR(O211="",B211=""),"",TEXT(O211-B211,"[h]:mm"))</f>
        <v/>
      </c>
    </row>
    <row r="212">
      <c r="A212" t="inlineStr">
        <is>
          <t>ED WCC</t>
        </is>
      </c>
      <c r="B212" s="3" t="n">
        <v>45721.61319444444</v>
      </c>
      <c r="C212" t="inlineStr">
        <is>
          <t>Izzuddin binti Omar</t>
        </is>
      </c>
      <c r="D212" t="inlineStr">
        <is>
          <t>Izzuddin</t>
        </is>
      </c>
      <c r="E212" s="4" t="inlineStr">
        <is>
          <t>070804-05-2217</t>
        </is>
      </c>
      <c r="F212" t="inlineStr">
        <is>
          <t>MRN867770</t>
        </is>
      </c>
      <c r="G212" s="5" t="n">
        <v>18</v>
      </c>
      <c r="H212" t="inlineStr">
        <is>
          <t>Female</t>
        </is>
      </c>
      <c r="I212" t="inlineStr">
        <is>
          <t>gz</t>
        </is>
      </c>
      <c r="J212" t="inlineStr">
        <is>
          <t>wccgz-waiting</t>
        </is>
      </c>
      <c r="K212" t="inlineStr">
        <is>
          <t>gz</t>
        </is>
      </c>
      <c r="L212" t="inlineStr">
        <is>
          <t>ongoingtreatment</t>
        </is>
      </c>
      <c r="N212" s="4" t="inlineStr">
        <is>
          <t>34</t>
        </is>
      </c>
      <c r="R212" s="6">
        <f>IF(OR(Q212="",P212=""),"",TEXT(Q212-P212,"[h]:mm"))</f>
        <v/>
      </c>
      <c r="S212" s="6">
        <f>IF(B212="","",IF(Q212&lt;&gt;"",TEXT(Q212-B212,"[h]:mm"),IF(U212&lt;&gt;"",TEXT(U212-B212,"[h]:mm"),"")))</f>
        <v/>
      </c>
      <c r="T212" s="6">
        <f>IF(OR(O212="",B212=""),"",TEXT(O212-B212,"[h]:mm"))</f>
        <v/>
      </c>
    </row>
    <row r="213">
      <c r="A213" t="inlineStr">
        <is>
          <t>ED WCC</t>
        </is>
      </c>
      <c r="B213" s="3" t="n">
        <v>45721.61597222222</v>
      </c>
      <c r="C213" t="inlineStr">
        <is>
          <t>Anis binti Ibrahim</t>
        </is>
      </c>
      <c r="D213" t="inlineStr">
        <is>
          <t>Anis</t>
        </is>
      </c>
      <c r="E213" s="4" t="inlineStr">
        <is>
          <t>201126-12-4768</t>
        </is>
      </c>
      <c r="F213" t="inlineStr">
        <is>
          <t>MRN567157</t>
        </is>
      </c>
      <c r="G213" s="5" t="n">
        <v>5</v>
      </c>
      <c r="H213" t="inlineStr">
        <is>
          <t>Female</t>
        </is>
      </c>
      <c r="I213" t="inlineStr">
        <is>
          <t>gz</t>
        </is>
      </c>
      <c r="J213" t="inlineStr">
        <is>
          <t>wccgz-waiting</t>
        </is>
      </c>
      <c r="K213" t="inlineStr">
        <is>
          <t>gz</t>
        </is>
      </c>
      <c r="L213" t="inlineStr">
        <is>
          <t>ongoingtreatment</t>
        </is>
      </c>
      <c r="N213" s="4" t="inlineStr">
        <is>
          <t>31</t>
        </is>
      </c>
      <c r="R213" s="6">
        <f>IF(OR(Q213="",P213=""),"",TEXT(Q213-P213,"[h]:mm"))</f>
        <v/>
      </c>
      <c r="S213" s="6">
        <f>IF(B213="","",IF(Q213&lt;&gt;"",TEXT(Q213-B213,"[h]:mm"),IF(U213&lt;&gt;"",TEXT(U213-B213,"[h]:mm"),"")))</f>
        <v/>
      </c>
      <c r="T213" s="6">
        <f>IF(OR(O213="",B213=""),"",TEXT(O213-B213,"[h]:mm"))</f>
        <v/>
      </c>
    </row>
    <row r="214">
      <c r="A214" t="inlineStr">
        <is>
          <t>ED BU</t>
        </is>
      </c>
      <c r="B214" s="3" t="n">
        <v>45721.61666666667</v>
      </c>
      <c r="C214" t="inlineStr">
        <is>
          <t>Suraya binti Yusof</t>
        </is>
      </c>
      <c r="D214" t="inlineStr">
        <is>
          <t>Suraya</t>
        </is>
      </c>
      <c r="E214" s="4" t="inlineStr">
        <is>
          <t>520204-10-6923</t>
        </is>
      </c>
      <c r="F214" t="inlineStr">
        <is>
          <t>MRN193608</t>
        </is>
      </c>
      <c r="G214" s="5" t="n">
        <v>73</v>
      </c>
      <c r="H214" t="inlineStr">
        <is>
          <t>Female</t>
        </is>
      </c>
      <c r="I214" t="inlineStr">
        <is>
          <t>yz</t>
        </is>
      </c>
      <c r="J214" t="inlineStr">
        <is>
          <t>buyz26crisis</t>
        </is>
      </c>
      <c r="K214" t="inlineStr">
        <is>
          <t>yz</t>
        </is>
      </c>
      <c r="L214" t="inlineStr">
        <is>
          <t>referred</t>
        </is>
      </c>
      <c r="M214" t="inlineStr">
        <is>
          <t>Paediatric</t>
        </is>
      </c>
      <c r="N214" s="4" t="n"/>
      <c r="R214" s="6">
        <f>IF(OR(Q214="",P214=""),"",TEXT(Q214-P214,"[h]:mm"))</f>
        <v/>
      </c>
      <c r="S214" s="6">
        <f>IF(B214="","",IF(Q214&lt;&gt;"",TEXT(Q214-B214,"[h]:mm"),IF(U214&lt;&gt;"",TEXT(U214-B214,"[h]:mm"),"")))</f>
        <v/>
      </c>
      <c r="T214" s="6">
        <f>IF(OR(O214="",B214=""),"",TEXT(O214-B214,"[h]:mm"))</f>
        <v/>
      </c>
    </row>
    <row r="215">
      <c r="A215" t="inlineStr">
        <is>
          <t>ED BU</t>
        </is>
      </c>
      <c r="B215" s="3" t="n">
        <v>45721.61666666667</v>
      </c>
      <c r="C215" t="inlineStr">
        <is>
          <t>Farah binti Mohamed</t>
        </is>
      </c>
      <c r="D215" t="inlineStr">
        <is>
          <t>Farah</t>
        </is>
      </c>
      <c r="E215" s="4" t="inlineStr">
        <is>
          <t>661220-10-7833</t>
        </is>
      </c>
      <c r="F215" t="inlineStr">
        <is>
          <t>MRN437673</t>
        </is>
      </c>
      <c r="G215" s="5" t="n">
        <v>59</v>
      </c>
      <c r="H215" t="inlineStr">
        <is>
          <t>Female</t>
        </is>
      </c>
      <c r="I215" t="inlineStr">
        <is>
          <t>gz</t>
        </is>
      </c>
      <c r="J215" t="inlineStr">
        <is>
          <t>bugz-waiting</t>
        </is>
      </c>
      <c r="K215" t="inlineStr">
        <is>
          <t>gz</t>
        </is>
      </c>
      <c r="L215" t="inlineStr">
        <is>
          <t>ongoingtreatment</t>
        </is>
      </c>
      <c r="N215" s="4" t="inlineStr">
        <is>
          <t>26</t>
        </is>
      </c>
      <c r="R215" s="6">
        <f>IF(OR(Q215="",P215=""),"",TEXT(Q215-P215,"[h]:mm"))</f>
        <v/>
      </c>
      <c r="S215" s="6">
        <f>IF(B215="","",IF(Q215&lt;&gt;"",TEXT(Q215-B215,"[h]:mm"),IF(U215&lt;&gt;"",TEXT(U215-B215,"[h]:mm"),"")))</f>
        <v/>
      </c>
      <c r="T215" s="6">
        <f>IF(OR(O215="",B215=""),"",TEXT(O215-B215,"[h]:mm"))</f>
        <v/>
      </c>
    </row>
    <row r="216">
      <c r="A216" t="inlineStr">
        <is>
          <t>ED WCC</t>
        </is>
      </c>
      <c r="B216" s="3" t="n">
        <v>45721.62013888889</v>
      </c>
      <c r="C216" t="inlineStr">
        <is>
          <t>Norizan bin Hassan</t>
        </is>
      </c>
      <c r="D216" t="inlineStr">
        <is>
          <t>Norizan</t>
        </is>
      </c>
      <c r="E216" s="4" t="inlineStr">
        <is>
          <t>190819-11-2815</t>
        </is>
      </c>
      <c r="F216" t="inlineStr">
        <is>
          <t>MRN678410</t>
        </is>
      </c>
      <c r="G216" s="5" t="n">
        <v>6</v>
      </c>
      <c r="H216" t="inlineStr">
        <is>
          <t>Male</t>
        </is>
      </c>
      <c r="I216" t="inlineStr">
        <is>
          <t>gz</t>
        </is>
      </c>
      <c r="J216" t="inlineStr">
        <is>
          <t>wccgz-waiting</t>
        </is>
      </c>
      <c r="K216" t="inlineStr">
        <is>
          <t>gz</t>
        </is>
      </c>
      <c r="L216" t="inlineStr">
        <is>
          <t>ongoingtreatment</t>
        </is>
      </c>
      <c r="N216" s="4" t="inlineStr">
        <is>
          <t>3</t>
        </is>
      </c>
      <c r="R216" s="6">
        <f>IF(OR(Q216="",P216=""),"",TEXT(Q216-P216,"[h]:mm"))</f>
        <v/>
      </c>
      <c r="S216" s="6">
        <f>IF(B216="","",IF(Q216&lt;&gt;"",TEXT(Q216-B216,"[h]:mm"),IF(U216&lt;&gt;"",TEXT(U216-B216,"[h]:mm"),"")))</f>
        <v/>
      </c>
      <c r="T216" s="6">
        <f>IF(OR(O216="",B216=""),"",TEXT(O216-B216,"[h]:mm"))</f>
        <v/>
      </c>
    </row>
    <row r="217">
      <c r="A217" t="inlineStr">
        <is>
          <t>ED WCC</t>
        </is>
      </c>
      <c r="B217" s="3" t="n">
        <v>45721.62083333333</v>
      </c>
      <c r="C217" t="inlineStr">
        <is>
          <t>Norizan binti Osman</t>
        </is>
      </c>
      <c r="D217" t="inlineStr">
        <is>
          <t>Norizan</t>
        </is>
      </c>
      <c r="E217" s="4" t="inlineStr">
        <is>
          <t>150625-12-4651</t>
        </is>
      </c>
      <c r="F217" t="inlineStr">
        <is>
          <t>MRN641238</t>
        </is>
      </c>
      <c r="G217" s="5" t="n">
        <v>10</v>
      </c>
      <c r="H217" t="inlineStr">
        <is>
          <t>Female</t>
        </is>
      </c>
      <c r="I217" t="inlineStr">
        <is>
          <t>gz</t>
        </is>
      </c>
      <c r="J217" t="inlineStr">
        <is>
          <t>wccgz-waiting</t>
        </is>
      </c>
      <c r="K217" t="inlineStr">
        <is>
          <t>gz</t>
        </is>
      </c>
      <c r="L217" t="inlineStr">
        <is>
          <t>ongoingtreatment</t>
        </is>
      </c>
      <c r="N217" s="4" t="inlineStr">
        <is>
          <t>8</t>
        </is>
      </c>
      <c r="R217" s="6">
        <f>IF(OR(Q217="",P217=""),"",TEXT(Q217-P217,"[h]:mm"))</f>
        <v/>
      </c>
      <c r="S217" s="6">
        <f>IF(B217="","",IF(Q217&lt;&gt;"",TEXT(Q217-B217,"[h]:mm"),IF(U217&lt;&gt;"",TEXT(U217-B217,"[h]:mm"),"")))</f>
        <v/>
      </c>
      <c r="T217" s="6">
        <f>IF(OR(O217="",B217=""),"",TEXT(O217-B217,"[h]:mm"))</f>
        <v/>
      </c>
    </row>
    <row r="218">
      <c r="A218" t="inlineStr">
        <is>
          <t>ED WCC</t>
        </is>
      </c>
      <c r="B218" s="3" t="n">
        <v>45721.62361111111</v>
      </c>
      <c r="C218" t="inlineStr">
        <is>
          <t>Hamizan bin Hassan</t>
        </is>
      </c>
      <c r="D218" t="inlineStr">
        <is>
          <t>Hamizan</t>
        </is>
      </c>
      <c r="E218" s="4" t="inlineStr">
        <is>
          <t>751103-12-8716</t>
        </is>
      </c>
      <c r="F218" t="inlineStr">
        <is>
          <t>MRN459726</t>
        </is>
      </c>
      <c r="G218" s="5" t="n">
        <v>50</v>
      </c>
      <c r="H218" t="inlineStr">
        <is>
          <t>Male</t>
        </is>
      </c>
      <c r="I218" t="inlineStr">
        <is>
          <t>gz</t>
        </is>
      </c>
      <c r="J218" t="inlineStr">
        <is>
          <t>wccgz-waiting</t>
        </is>
      </c>
      <c r="K218" t="inlineStr">
        <is>
          <t>gz</t>
        </is>
      </c>
      <c r="L218" t="inlineStr">
        <is>
          <t>ongoingtreatment</t>
        </is>
      </c>
      <c r="N218" s="4" t="inlineStr">
        <is>
          <t>13</t>
        </is>
      </c>
      <c r="R218" s="6">
        <f>IF(OR(Q218="",P218=""),"",TEXT(Q218-P218,"[h]:mm"))</f>
        <v/>
      </c>
      <c r="S218" s="6">
        <f>IF(B218="","",IF(Q218&lt;&gt;"",TEXT(Q218-B218,"[h]:mm"),IF(U218&lt;&gt;"",TEXT(U218-B218,"[h]:mm"),"")))</f>
        <v/>
      </c>
      <c r="T218" s="6">
        <f>IF(OR(O218="",B218=""),"",TEXT(O218-B218,"[h]:mm"))</f>
        <v/>
      </c>
    </row>
    <row r="219">
      <c r="A219" t="inlineStr">
        <is>
          <t>ED BU</t>
        </is>
      </c>
      <c r="B219" s="3" t="n">
        <v>45721.62361111111</v>
      </c>
      <c r="C219" t="inlineStr">
        <is>
          <t>Zainab binti Ibrahim</t>
        </is>
      </c>
      <c r="D219" t="inlineStr">
        <is>
          <t>Zainab</t>
        </is>
      </c>
      <c r="E219" s="4" t="inlineStr">
        <is>
          <t>980226-12-8261</t>
        </is>
      </c>
      <c r="F219" t="inlineStr">
        <is>
          <t>MRN973082</t>
        </is>
      </c>
      <c r="G219" s="5" t="n">
        <v>27</v>
      </c>
      <c r="H219" t="inlineStr">
        <is>
          <t>Female</t>
        </is>
      </c>
      <c r="I219" t="inlineStr">
        <is>
          <t>gz</t>
        </is>
      </c>
      <c r="J219" t="inlineStr">
        <is>
          <t>bugz-waiting</t>
        </is>
      </c>
      <c r="K219" t="inlineStr">
        <is>
          <t>gz</t>
        </is>
      </c>
      <c r="L219" t="inlineStr">
        <is>
          <t>ongoingtreatment</t>
        </is>
      </c>
      <c r="N219" s="4" t="inlineStr">
        <is>
          <t>31</t>
        </is>
      </c>
      <c r="R219" s="6">
        <f>IF(OR(Q219="",P219=""),"",TEXT(Q219-P219,"[h]:mm"))</f>
        <v/>
      </c>
      <c r="S219" s="6">
        <f>IF(B219="","",IF(Q219&lt;&gt;"",TEXT(Q219-B219,"[h]:mm"),IF(U219&lt;&gt;"",TEXT(U219-B219,"[h]:mm"),"")))</f>
        <v/>
      </c>
      <c r="T219" s="6">
        <f>IF(OR(O219="",B219=""),"",TEXT(O219-B219,"[h]:mm"))</f>
        <v/>
      </c>
    </row>
  </sheetData>
  <mergeCells count="1">
    <mergeCell ref="A1:U1"/>
  </mergeCells>
  <conditionalFormatting sqref="J3:J1200">
    <cfRule type="expression" priority="1" dxfId="0" stopIfTrue="0">
      <formula>AND($J3&lt;&gt;"",ISNUMBER(SEARCH("crisis",$J3)))</formula>
    </cfRule>
    <cfRule type="expression" priority="2" dxfId="1" stopIfTrue="0">
      <formula>AND($J3&lt;&gt;"",ISNUMBER(SEARCH("waiting",$J3)))</formula>
    </cfRule>
  </conditionalFormatting>
  <conditionalFormatting sqref="L3:L1200">
    <cfRule type="expression" priority="3" dxfId="2" stopIfTrue="0">
      <formula>$L3="ongoingtreatment"</formula>
    </cfRule>
    <cfRule type="expression" priority="4" dxfId="3" stopIfTrue="0">
      <formula>$L3="referred"</formula>
    </cfRule>
    <cfRule type="expression" priority="5" dxfId="4" stopIfTrue="0">
      <formula>$L3="preadmit"</formula>
    </cfRule>
    <cfRule type="expression" priority="6" dxfId="1" stopIfTrue="0">
      <formula>$L3="admitted"</formula>
    </cfRule>
    <cfRule type="expression" priority="7" dxfId="5" stopIfTrue="0">
      <formula>$L3="discharge"</formula>
    </cfRule>
  </conditionalFormatting>
  <conditionalFormatting sqref="A3:U1200">
    <cfRule type="expression" priority="8" dxfId="6" stopIfTrue="0">
      <formula>AND($B3&lt;&gt;"",$Q3&lt;&gt;"",$Q3&lt;$B3)</formula>
    </cfRule>
  </conditionalFormatting>
  <dataValidations count="8">
    <dataValidation sqref="A3:A1200" showDropDown="0" showInputMessage="0" showErrorMessage="0" allowBlank="1" errorTitle="Invalid entry" error="Choose a value from the list." type="list">
      <formula1>"ED WCC,ED BU,PAC WCC"</formula1>
    </dataValidation>
    <dataValidation sqref="H3:H1200" showDropDown="0" showInputMessage="0" showErrorMessage="0" allowBlank="1" errorTitle="Invalid entry" error="Choose a value from the list." type="list">
      <formula1>"Male,Female"</formula1>
    </dataValidation>
    <dataValidation sqref="I3:I1200" showDropDown="0" showInputMessage="0" showErrorMessage="0" allowBlank="1" errorTitle="Invalid entry" error="Choose a value from the list." type="list">
      <formula1>"rz,yz,gz,ob,ab,pac"</formula1>
    </dataValidation>
    <dataValidation sqref="K3:K1200" showDropDown="0" showInputMessage="0" showErrorMessage="0" allowBlank="1" errorTitle="Invalid entry" error="Choose a value from the list." type="list">
      <formula1>"rz,yz,gz,ob,ab,pac"</formula1>
    </dataValidation>
    <dataValidation sqref="L3:L1200" showDropDown="0" showInputMessage="0" showErrorMessage="0" allowBlank="1" errorTitle="Invalid entry" error="Choose a value from the list." type="list">
      <formula1>"ongoingtreatment,referred,preadmit,admitted,discharge"</formula1>
    </dataValidation>
    <dataValidation sqref="M3:M1200" showDropDown="0" showInputMessage="0" showErrorMessage="0" allowBlank="1" errorTitle="Invalid entry" error="Choose a value from the list." type="list">
      <formula1>"Medical,Surgical,Orthopedic,O&amp;G,Paediatric,Paediatric Dental,OMFS,Psychiatry,Special Needs Dental"</formula1>
    </dataValidation>
    <dataValidation sqref="J3:J1200" showDropDown="0" showInputMessage="0" showErrorMessage="0" allowBlank="1" errorTitle="Unknown position code" error="Use a position code from the Reference sheet." type="list">
      <formula1>=Reference!$A$2:$A$120</formula1>
    </dataValidation>
    <dataValidation sqref="G3:G1200" showDropDown="0" showInputMessage="0" showErrorMessage="0" allowBlank="1" errorTitle="Invalid age" error="Age must be 0–120." type="whole" operator="between">
      <formula1>0</formula1>
      <formula2>120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8" customWidth="1" min="6" max="6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7" t="inlineStr">
        <is>
          <t>Position Code</t>
        </is>
      </c>
      <c r="B1" s="7" t="inlineStr">
        <is>
          <t>Location</t>
        </is>
      </c>
      <c r="C1" s="7" t="inlineStr">
        <is>
          <t>Zone</t>
        </is>
      </c>
      <c r="D1" s="7" t="inlineStr">
        <is>
          <t>Zone Name</t>
        </is>
      </c>
      <c r="E1" s="7" t="inlineStr">
        <is>
          <t>Kind</t>
        </is>
      </c>
      <c r="F1" s="7" t="inlineStr">
        <is>
          <t>Description</t>
        </is>
      </c>
      <c r="H1" s="8" t="inlineStr">
        <is>
          <t>Location</t>
        </is>
      </c>
      <c r="I1" s="8" t="inlineStr">
        <is>
          <t>Zone</t>
        </is>
      </c>
      <c r="J1" s="8" t="inlineStr">
        <is>
          <t>Unit</t>
        </is>
      </c>
      <c r="K1" s="8" t="inlineStr">
        <is>
          <t>Funded capacity</t>
        </is>
      </c>
      <c r="L1" s="8" t="inlineStr">
        <is>
          <t>Escalation beds</t>
        </is>
      </c>
      <c r="M1" s="8" t="inlineStr">
        <is>
          <t>Waiting places</t>
        </is>
      </c>
    </row>
    <row r="2">
      <c r="A2" t="inlineStr">
        <is>
          <t>wccrz01</t>
        </is>
      </c>
      <c r="B2" t="inlineStr">
        <is>
          <t>ED WCC</t>
        </is>
      </c>
      <c r="C2" t="inlineStr">
        <is>
          <t>rz</t>
        </is>
      </c>
      <c r="D2" t="inlineStr">
        <is>
          <t>Red Zone</t>
        </is>
      </c>
      <c r="E2" t="inlineStr">
        <is>
          <t>funded</t>
        </is>
      </c>
      <c r="F2" t="inlineStr">
        <is>
          <t>ED WCC Red Zone bed 01</t>
        </is>
      </c>
      <c r="H2" t="inlineStr">
        <is>
          <t>ED WCC</t>
        </is>
      </c>
      <c r="I2" t="inlineStr">
        <is>
          <t>Red Zone</t>
        </is>
      </c>
      <c r="J2" t="inlineStr">
        <is>
          <t>bed</t>
        </is>
      </c>
      <c r="K2" t="n">
        <v>4</v>
      </c>
      <c r="L2" t="n">
        <v>6</v>
      </c>
      <c r="M2" t="n">
        <v>0</v>
      </c>
    </row>
    <row r="3">
      <c r="A3" t="inlineStr">
        <is>
          <t>wccrz02</t>
        </is>
      </c>
      <c r="B3" t="inlineStr">
        <is>
          <t>ED WCC</t>
        </is>
      </c>
      <c r="C3" t="inlineStr">
        <is>
          <t>rz</t>
        </is>
      </c>
      <c r="D3" t="inlineStr">
        <is>
          <t>Red Zone</t>
        </is>
      </c>
      <c r="E3" t="inlineStr">
        <is>
          <t>funded</t>
        </is>
      </c>
      <c r="F3" t="inlineStr">
        <is>
          <t>ED WCC Red Zone bed 02</t>
        </is>
      </c>
      <c r="H3" t="inlineStr">
        <is>
          <t>ED WCC</t>
        </is>
      </c>
      <c r="I3" t="inlineStr">
        <is>
          <t>Yellow Zone</t>
        </is>
      </c>
      <c r="J3" t="inlineStr">
        <is>
          <t>bed</t>
        </is>
      </c>
      <c r="K3" t="n">
        <v>4</v>
      </c>
      <c r="L3" t="n">
        <v>8</v>
      </c>
      <c r="M3" t="n">
        <v>0</v>
      </c>
    </row>
    <row r="4">
      <c r="A4" t="inlineStr">
        <is>
          <t>wccrz03</t>
        </is>
      </c>
      <c r="B4" t="inlineStr">
        <is>
          <t>ED WCC</t>
        </is>
      </c>
      <c r="C4" t="inlineStr">
        <is>
          <t>rz</t>
        </is>
      </c>
      <c r="D4" t="inlineStr">
        <is>
          <t>Red Zone</t>
        </is>
      </c>
      <c r="E4" t="inlineStr">
        <is>
          <t>funded</t>
        </is>
      </c>
      <c r="F4" t="inlineStr">
        <is>
          <t>ED WCC Red Zone bed 03</t>
        </is>
      </c>
      <c r="H4" t="inlineStr">
        <is>
          <t>ED WCC</t>
        </is>
      </c>
      <c r="I4" t="inlineStr">
        <is>
          <t>Observation Bay</t>
        </is>
      </c>
      <c r="J4" t="inlineStr">
        <is>
          <t>bed</t>
        </is>
      </c>
      <c r="K4" t="n">
        <v>8</v>
      </c>
      <c r="L4" t="n">
        <v>2</v>
      </c>
      <c r="M4" t="n">
        <v>0</v>
      </c>
    </row>
    <row r="5">
      <c r="A5" t="inlineStr">
        <is>
          <t>wccrz04</t>
        </is>
      </c>
      <c r="B5" t="inlineStr">
        <is>
          <t>ED WCC</t>
        </is>
      </c>
      <c r="C5" t="inlineStr">
        <is>
          <t>rz</t>
        </is>
      </c>
      <c r="D5" t="inlineStr">
        <is>
          <t>Red Zone</t>
        </is>
      </c>
      <c r="E5" t="inlineStr">
        <is>
          <t>funded</t>
        </is>
      </c>
      <c r="F5" t="inlineStr">
        <is>
          <t>ED WCC Red Zone bed 04</t>
        </is>
      </c>
      <c r="H5" t="inlineStr">
        <is>
          <t>ED WCC</t>
        </is>
      </c>
      <c r="I5" t="inlineStr">
        <is>
          <t>Asthma Bay</t>
        </is>
      </c>
      <c r="J5" t="inlineStr">
        <is>
          <t>sofa</t>
        </is>
      </c>
      <c r="K5" t="n">
        <v>4</v>
      </c>
      <c r="L5" t="n">
        <v>0</v>
      </c>
      <c r="M5" t="n">
        <v>0</v>
      </c>
    </row>
    <row r="6">
      <c r="A6" t="inlineStr">
        <is>
          <t>wccrz05crisis</t>
        </is>
      </c>
      <c r="B6" t="inlineStr">
        <is>
          <t>ED WCC</t>
        </is>
      </c>
      <c r="C6" t="inlineStr">
        <is>
          <t>rz</t>
        </is>
      </c>
      <c r="D6" t="inlineStr">
        <is>
          <t>Red Zone</t>
        </is>
      </c>
      <c r="E6" t="inlineStr">
        <is>
          <t>crisis</t>
        </is>
      </c>
      <c r="F6" t="inlineStr">
        <is>
          <t>ED WCC Red Zone bed 05 — escalation capacity, crisis mode active</t>
        </is>
      </c>
      <c r="H6" t="inlineStr">
        <is>
          <t>ED WCC</t>
        </is>
      </c>
      <c r="I6" t="inlineStr">
        <is>
          <t>Green Zone</t>
        </is>
      </c>
      <c r="J6" t="inlineStr">
        <is>
          <t>consultation room</t>
        </is>
      </c>
      <c r="K6" t="n">
        <v>2</v>
      </c>
      <c r="L6" t="n">
        <v>0</v>
      </c>
      <c r="M6" t="n">
        <v>50</v>
      </c>
    </row>
    <row r="7">
      <c r="A7" t="inlineStr">
        <is>
          <t>wccrz06crisis</t>
        </is>
      </c>
      <c r="B7" t="inlineStr">
        <is>
          <t>ED WCC</t>
        </is>
      </c>
      <c r="C7" t="inlineStr">
        <is>
          <t>rz</t>
        </is>
      </c>
      <c r="D7" t="inlineStr">
        <is>
          <t>Red Zone</t>
        </is>
      </c>
      <c r="E7" t="inlineStr">
        <is>
          <t>crisis</t>
        </is>
      </c>
      <c r="F7" t="inlineStr">
        <is>
          <t>ED WCC Red Zone bed 06 — escalation capacity, crisis mode active</t>
        </is>
      </c>
      <c r="H7" t="inlineStr">
        <is>
          <t>ED BU</t>
        </is>
      </c>
      <c r="I7" t="inlineStr">
        <is>
          <t>Red Zone</t>
        </is>
      </c>
      <c r="J7" t="inlineStr">
        <is>
          <t>bed</t>
        </is>
      </c>
      <c r="K7" t="n">
        <v>6</v>
      </c>
      <c r="L7" t="n">
        <v>6</v>
      </c>
      <c r="M7" t="n">
        <v>0</v>
      </c>
    </row>
    <row r="8">
      <c r="A8" t="inlineStr">
        <is>
          <t>wccrz07crisis</t>
        </is>
      </c>
      <c r="B8" t="inlineStr">
        <is>
          <t>ED WCC</t>
        </is>
      </c>
      <c r="C8" t="inlineStr">
        <is>
          <t>rz</t>
        </is>
      </c>
      <c r="D8" t="inlineStr">
        <is>
          <t>Red Zone</t>
        </is>
      </c>
      <c r="E8" t="inlineStr">
        <is>
          <t>crisis</t>
        </is>
      </c>
      <c r="F8" t="inlineStr">
        <is>
          <t>ED WCC Red Zone bed 07 — escalation capacity, crisis mode active</t>
        </is>
      </c>
      <c r="H8" t="inlineStr">
        <is>
          <t>ED BU</t>
        </is>
      </c>
      <c r="I8" t="inlineStr">
        <is>
          <t>Yellow Zone</t>
        </is>
      </c>
      <c r="J8" t="inlineStr">
        <is>
          <t>bed</t>
        </is>
      </c>
      <c r="K8" t="n">
        <v>16</v>
      </c>
      <c r="L8" t="n">
        <v>34</v>
      </c>
      <c r="M8" t="n">
        <v>0</v>
      </c>
    </row>
    <row r="9">
      <c r="A9" t="inlineStr">
        <is>
          <t>wccrz08crisis</t>
        </is>
      </c>
      <c r="B9" t="inlineStr">
        <is>
          <t>ED WCC</t>
        </is>
      </c>
      <c r="C9" t="inlineStr">
        <is>
          <t>rz</t>
        </is>
      </c>
      <c r="D9" t="inlineStr">
        <is>
          <t>Red Zone</t>
        </is>
      </c>
      <c r="E9" t="inlineStr">
        <is>
          <t>crisis</t>
        </is>
      </c>
      <c r="F9" t="inlineStr">
        <is>
          <t>ED WCC Red Zone bed 08 — escalation capacity, crisis mode active</t>
        </is>
      </c>
      <c r="H9" t="inlineStr">
        <is>
          <t>ED BU</t>
        </is>
      </c>
      <c r="I9" t="inlineStr">
        <is>
          <t>Green Zone</t>
        </is>
      </c>
      <c r="J9" t="inlineStr">
        <is>
          <t>consultation room</t>
        </is>
      </c>
      <c r="K9" t="n">
        <v>2</v>
      </c>
      <c r="L9" t="n">
        <v>0</v>
      </c>
      <c r="M9" t="n">
        <v>50</v>
      </c>
    </row>
    <row r="10">
      <c r="A10" t="inlineStr">
        <is>
          <t>wccrz09crisis</t>
        </is>
      </c>
      <c r="B10" t="inlineStr">
        <is>
          <t>ED WCC</t>
        </is>
      </c>
      <c r="C10" t="inlineStr">
        <is>
          <t>rz</t>
        </is>
      </c>
      <c r="D10" t="inlineStr">
        <is>
          <t>Red Zone</t>
        </is>
      </c>
      <c r="E10" t="inlineStr">
        <is>
          <t>crisis</t>
        </is>
      </c>
      <c r="F10" t="inlineStr">
        <is>
          <t>ED WCC Red Zone bed 09 — escalation capacity, crisis mode active</t>
        </is>
      </c>
      <c r="H10" t="inlineStr">
        <is>
          <t>PAC WCC</t>
        </is>
      </c>
      <c r="I10" t="inlineStr">
        <is>
          <t>Patient Assessment Centre</t>
        </is>
      </c>
      <c r="J10" t="inlineStr">
        <is>
          <t>bed</t>
        </is>
      </c>
      <c r="K10" t="n">
        <v>8</v>
      </c>
      <c r="L10" t="n">
        <v>7</v>
      </c>
      <c r="M10" t="n">
        <v>0</v>
      </c>
    </row>
    <row r="11">
      <c r="A11" t="inlineStr">
        <is>
          <t>wccrz10crisis</t>
        </is>
      </c>
      <c r="B11" t="inlineStr">
        <is>
          <t>ED WCC</t>
        </is>
      </c>
      <c r="C11" t="inlineStr">
        <is>
          <t>rz</t>
        </is>
      </c>
      <c r="D11" t="inlineStr">
        <is>
          <t>Red Zone</t>
        </is>
      </c>
      <c r="E11" t="inlineStr">
        <is>
          <t>crisis</t>
        </is>
      </c>
      <c r="F11" t="inlineStr">
        <is>
          <t>ED WCC Red Zone bed 10 — escalation capacity, crisis mode active</t>
        </is>
      </c>
      <c r="H11" s="9" t="inlineStr">
        <is>
          <t>TOTAL</t>
        </is>
      </c>
      <c r="K11" s="9">
        <f>SUM(K2:K10)</f>
        <v/>
      </c>
      <c r="L11" s="9">
        <f>SUM(L2:L10)</f>
        <v/>
      </c>
      <c r="M11" s="9">
        <f>SUM(M2:M10)</f>
        <v/>
      </c>
    </row>
    <row r="12">
      <c r="A12" t="inlineStr">
        <is>
          <t>wccyz01</t>
        </is>
      </c>
      <c r="B12" t="inlineStr">
        <is>
          <t>ED WCC</t>
        </is>
      </c>
      <c r="C12" t="inlineStr">
        <is>
          <t>yz</t>
        </is>
      </c>
      <c r="D12" t="inlineStr">
        <is>
          <t>Yellow Zone</t>
        </is>
      </c>
      <c r="E12" t="inlineStr">
        <is>
          <t>funded</t>
        </is>
      </c>
      <c r="F12" t="inlineStr">
        <is>
          <t>ED WCC Yellow Zone bed 01</t>
        </is>
      </c>
    </row>
    <row r="13">
      <c r="A13" t="inlineStr">
        <is>
          <t>wccyz02</t>
        </is>
      </c>
      <c r="B13" t="inlineStr">
        <is>
          <t>ED WCC</t>
        </is>
      </c>
      <c r="C13" t="inlineStr">
        <is>
          <t>yz</t>
        </is>
      </c>
      <c r="D13" t="inlineStr">
        <is>
          <t>Yellow Zone</t>
        </is>
      </c>
      <c r="E13" t="inlineStr">
        <is>
          <t>funded</t>
        </is>
      </c>
      <c r="F13" t="inlineStr">
        <is>
          <t>ED WCC Yellow Zone bed 02</t>
        </is>
      </c>
    </row>
    <row r="14">
      <c r="A14" t="inlineStr">
        <is>
          <t>wccyz03</t>
        </is>
      </c>
      <c r="B14" t="inlineStr">
        <is>
          <t>ED WCC</t>
        </is>
      </c>
      <c r="C14" t="inlineStr">
        <is>
          <t>yz</t>
        </is>
      </c>
      <c r="D14" t="inlineStr">
        <is>
          <t>Yellow Zone</t>
        </is>
      </c>
      <c r="E14" t="inlineStr">
        <is>
          <t>funded</t>
        </is>
      </c>
      <c r="F14" t="inlineStr">
        <is>
          <t>ED WCC Yellow Zone bed 03</t>
        </is>
      </c>
    </row>
    <row r="15">
      <c r="A15" t="inlineStr">
        <is>
          <t>wccyz04</t>
        </is>
      </c>
      <c r="B15" t="inlineStr">
        <is>
          <t>ED WCC</t>
        </is>
      </c>
      <c r="C15" t="inlineStr">
        <is>
          <t>yz</t>
        </is>
      </c>
      <c r="D15" t="inlineStr">
        <is>
          <t>Yellow Zone</t>
        </is>
      </c>
      <c r="E15" t="inlineStr">
        <is>
          <t>funded</t>
        </is>
      </c>
      <c r="F15" t="inlineStr">
        <is>
          <t>ED WCC Yellow Zone bed 04</t>
        </is>
      </c>
    </row>
    <row r="16">
      <c r="A16" t="inlineStr">
        <is>
          <t>wccyz05crisis</t>
        </is>
      </c>
      <c r="B16" t="inlineStr">
        <is>
          <t>ED WCC</t>
        </is>
      </c>
      <c r="C16" t="inlineStr">
        <is>
          <t>yz</t>
        </is>
      </c>
      <c r="D16" t="inlineStr">
        <is>
          <t>Yellow Zone</t>
        </is>
      </c>
      <c r="E16" t="inlineStr">
        <is>
          <t>crisis</t>
        </is>
      </c>
      <c r="F16" t="inlineStr">
        <is>
          <t>ED WCC Yellow Zone bed 05 — escalation capacity, crisis mode active</t>
        </is>
      </c>
    </row>
    <row r="17">
      <c r="A17" t="inlineStr">
        <is>
          <t>wccyz06crisis</t>
        </is>
      </c>
      <c r="B17" t="inlineStr">
        <is>
          <t>ED WCC</t>
        </is>
      </c>
      <c r="C17" t="inlineStr">
        <is>
          <t>yz</t>
        </is>
      </c>
      <c r="D17" t="inlineStr">
        <is>
          <t>Yellow Zone</t>
        </is>
      </c>
      <c r="E17" t="inlineStr">
        <is>
          <t>crisis</t>
        </is>
      </c>
      <c r="F17" t="inlineStr">
        <is>
          <t>ED WCC Yellow Zone bed 06 — escalation capacity, crisis mode active</t>
        </is>
      </c>
    </row>
    <row r="18">
      <c r="A18" t="inlineStr">
        <is>
          <t>wccyz07crisis</t>
        </is>
      </c>
      <c r="B18" t="inlineStr">
        <is>
          <t>ED WCC</t>
        </is>
      </c>
      <c r="C18" t="inlineStr">
        <is>
          <t>yz</t>
        </is>
      </c>
      <c r="D18" t="inlineStr">
        <is>
          <t>Yellow Zone</t>
        </is>
      </c>
      <c r="E18" t="inlineStr">
        <is>
          <t>crisis</t>
        </is>
      </c>
      <c r="F18" t="inlineStr">
        <is>
          <t>ED WCC Yellow Zone bed 07 — escalation capacity, crisis mode active</t>
        </is>
      </c>
    </row>
    <row r="19">
      <c r="A19" t="inlineStr">
        <is>
          <t>wccyz08crisis</t>
        </is>
      </c>
      <c r="B19" t="inlineStr">
        <is>
          <t>ED WCC</t>
        </is>
      </c>
      <c r="C19" t="inlineStr">
        <is>
          <t>yz</t>
        </is>
      </c>
      <c r="D19" t="inlineStr">
        <is>
          <t>Yellow Zone</t>
        </is>
      </c>
      <c r="E19" t="inlineStr">
        <is>
          <t>crisis</t>
        </is>
      </c>
      <c r="F19" t="inlineStr">
        <is>
          <t>ED WCC Yellow Zone bed 08 — escalation capacity, crisis mode active</t>
        </is>
      </c>
    </row>
    <row r="20">
      <c r="A20" t="inlineStr">
        <is>
          <t>wccyz09crisis</t>
        </is>
      </c>
      <c r="B20" t="inlineStr">
        <is>
          <t>ED WCC</t>
        </is>
      </c>
      <c r="C20" t="inlineStr">
        <is>
          <t>yz</t>
        </is>
      </c>
      <c r="D20" t="inlineStr">
        <is>
          <t>Yellow Zone</t>
        </is>
      </c>
      <c r="E20" t="inlineStr">
        <is>
          <t>crisis</t>
        </is>
      </c>
      <c r="F20" t="inlineStr">
        <is>
          <t>ED WCC Yellow Zone bed 09 — escalation capacity, crisis mode active</t>
        </is>
      </c>
    </row>
    <row r="21">
      <c r="A21" t="inlineStr">
        <is>
          <t>wccyz10crisis</t>
        </is>
      </c>
      <c r="B21" t="inlineStr">
        <is>
          <t>ED WCC</t>
        </is>
      </c>
      <c r="C21" t="inlineStr">
        <is>
          <t>yz</t>
        </is>
      </c>
      <c r="D21" t="inlineStr">
        <is>
          <t>Yellow Zone</t>
        </is>
      </c>
      <c r="E21" t="inlineStr">
        <is>
          <t>crisis</t>
        </is>
      </c>
      <c r="F21" t="inlineStr">
        <is>
          <t>ED WCC Yellow Zone bed 10 — escalation capacity, crisis mode active</t>
        </is>
      </c>
    </row>
    <row r="22">
      <c r="A22" t="inlineStr">
        <is>
          <t>wccyz11crisis</t>
        </is>
      </c>
      <c r="B22" t="inlineStr">
        <is>
          <t>ED WCC</t>
        </is>
      </c>
      <c r="C22" t="inlineStr">
        <is>
          <t>yz</t>
        </is>
      </c>
      <c r="D22" t="inlineStr">
        <is>
          <t>Yellow Zone</t>
        </is>
      </c>
      <c r="E22" t="inlineStr">
        <is>
          <t>crisis</t>
        </is>
      </c>
      <c r="F22" t="inlineStr">
        <is>
          <t>ED WCC Yellow Zone bed 11 — escalation capacity, crisis mode active</t>
        </is>
      </c>
    </row>
    <row r="23">
      <c r="A23" t="inlineStr">
        <is>
          <t>wccyz12crisis</t>
        </is>
      </c>
      <c r="B23" t="inlineStr">
        <is>
          <t>ED WCC</t>
        </is>
      </c>
      <c r="C23" t="inlineStr">
        <is>
          <t>yz</t>
        </is>
      </c>
      <c r="D23" t="inlineStr">
        <is>
          <t>Yellow Zone</t>
        </is>
      </c>
      <c r="E23" t="inlineStr">
        <is>
          <t>crisis</t>
        </is>
      </c>
      <c r="F23" t="inlineStr">
        <is>
          <t>ED WCC Yellow Zone bed 12 — escalation capacity, crisis mode active</t>
        </is>
      </c>
    </row>
    <row r="24">
      <c r="A24" t="inlineStr">
        <is>
          <t>wccob01</t>
        </is>
      </c>
      <c r="B24" t="inlineStr">
        <is>
          <t>ED WCC</t>
        </is>
      </c>
      <c r="C24" t="inlineStr">
        <is>
          <t>ob</t>
        </is>
      </c>
      <c r="D24" t="inlineStr">
        <is>
          <t>Observation Bay</t>
        </is>
      </c>
      <c r="E24" t="inlineStr">
        <is>
          <t>funded</t>
        </is>
      </c>
      <c r="F24" t="inlineStr">
        <is>
          <t>ED WCC Observation Bay bed 01</t>
        </is>
      </c>
    </row>
    <row r="25">
      <c r="A25" t="inlineStr">
        <is>
          <t>wccob02</t>
        </is>
      </c>
      <c r="B25" t="inlineStr">
        <is>
          <t>ED WCC</t>
        </is>
      </c>
      <c r="C25" t="inlineStr">
        <is>
          <t>ob</t>
        </is>
      </c>
      <c r="D25" t="inlineStr">
        <is>
          <t>Observation Bay</t>
        </is>
      </c>
      <c r="E25" t="inlineStr">
        <is>
          <t>funded</t>
        </is>
      </c>
      <c r="F25" t="inlineStr">
        <is>
          <t>ED WCC Observation Bay bed 02</t>
        </is>
      </c>
    </row>
    <row r="26">
      <c r="A26" t="inlineStr">
        <is>
          <t>wccob03</t>
        </is>
      </c>
      <c r="B26" t="inlineStr">
        <is>
          <t>ED WCC</t>
        </is>
      </c>
      <c r="C26" t="inlineStr">
        <is>
          <t>ob</t>
        </is>
      </c>
      <c r="D26" t="inlineStr">
        <is>
          <t>Observation Bay</t>
        </is>
      </c>
      <c r="E26" t="inlineStr">
        <is>
          <t>funded</t>
        </is>
      </c>
      <c r="F26" t="inlineStr">
        <is>
          <t>ED WCC Observation Bay bed 03</t>
        </is>
      </c>
    </row>
    <row r="27">
      <c r="A27" t="inlineStr">
        <is>
          <t>wccob04</t>
        </is>
      </c>
      <c r="B27" t="inlineStr">
        <is>
          <t>ED WCC</t>
        </is>
      </c>
      <c r="C27" t="inlineStr">
        <is>
          <t>ob</t>
        </is>
      </c>
      <c r="D27" t="inlineStr">
        <is>
          <t>Observation Bay</t>
        </is>
      </c>
      <c r="E27" t="inlineStr">
        <is>
          <t>funded</t>
        </is>
      </c>
      <c r="F27" t="inlineStr">
        <is>
          <t>ED WCC Observation Bay bed 04</t>
        </is>
      </c>
    </row>
    <row r="28">
      <c r="A28" t="inlineStr">
        <is>
          <t>wccob05</t>
        </is>
      </c>
      <c r="B28" t="inlineStr">
        <is>
          <t>ED WCC</t>
        </is>
      </c>
      <c r="C28" t="inlineStr">
        <is>
          <t>ob</t>
        </is>
      </c>
      <c r="D28" t="inlineStr">
        <is>
          <t>Observation Bay</t>
        </is>
      </c>
      <c r="E28" t="inlineStr">
        <is>
          <t>funded</t>
        </is>
      </c>
      <c r="F28" t="inlineStr">
        <is>
          <t>ED WCC Observation Bay bed 05</t>
        </is>
      </c>
    </row>
    <row r="29">
      <c r="A29" t="inlineStr">
        <is>
          <t>wccob06</t>
        </is>
      </c>
      <c r="B29" t="inlineStr">
        <is>
          <t>ED WCC</t>
        </is>
      </c>
      <c r="C29" t="inlineStr">
        <is>
          <t>ob</t>
        </is>
      </c>
      <c r="D29" t="inlineStr">
        <is>
          <t>Observation Bay</t>
        </is>
      </c>
      <c r="E29" t="inlineStr">
        <is>
          <t>funded</t>
        </is>
      </c>
      <c r="F29" t="inlineStr">
        <is>
          <t>ED WCC Observation Bay bed 06</t>
        </is>
      </c>
    </row>
    <row r="30">
      <c r="A30" t="inlineStr">
        <is>
          <t>wccob07</t>
        </is>
      </c>
      <c r="B30" t="inlineStr">
        <is>
          <t>ED WCC</t>
        </is>
      </c>
      <c r="C30" t="inlineStr">
        <is>
          <t>ob</t>
        </is>
      </c>
      <c r="D30" t="inlineStr">
        <is>
          <t>Observation Bay</t>
        </is>
      </c>
      <c r="E30" t="inlineStr">
        <is>
          <t>funded</t>
        </is>
      </c>
      <c r="F30" t="inlineStr">
        <is>
          <t>ED WCC Observation Bay bed 07</t>
        </is>
      </c>
    </row>
    <row r="31">
      <c r="A31" t="inlineStr">
        <is>
          <t>wccob08</t>
        </is>
      </c>
      <c r="B31" t="inlineStr">
        <is>
          <t>ED WCC</t>
        </is>
      </c>
      <c r="C31" t="inlineStr">
        <is>
          <t>ob</t>
        </is>
      </c>
      <c r="D31" t="inlineStr">
        <is>
          <t>Observation Bay</t>
        </is>
      </c>
      <c r="E31" t="inlineStr">
        <is>
          <t>funded</t>
        </is>
      </c>
      <c r="F31" t="inlineStr">
        <is>
          <t>ED WCC Observation Bay bed 08</t>
        </is>
      </c>
    </row>
    <row r="32">
      <c r="A32" t="inlineStr">
        <is>
          <t>wccob09crisis</t>
        </is>
      </c>
      <c r="B32" t="inlineStr">
        <is>
          <t>ED WCC</t>
        </is>
      </c>
      <c r="C32" t="inlineStr">
        <is>
          <t>ob</t>
        </is>
      </c>
      <c r="D32" t="inlineStr">
        <is>
          <t>Observation Bay</t>
        </is>
      </c>
      <c r="E32" t="inlineStr">
        <is>
          <t>crisis</t>
        </is>
      </c>
      <c r="F32" t="inlineStr">
        <is>
          <t>ED WCC Observation Bay bed 09 — escalation capacity, crisis mode active</t>
        </is>
      </c>
    </row>
    <row r="33">
      <c r="A33" t="inlineStr">
        <is>
          <t>wccob10crisis</t>
        </is>
      </c>
      <c r="B33" t="inlineStr">
        <is>
          <t>ED WCC</t>
        </is>
      </c>
      <c r="C33" t="inlineStr">
        <is>
          <t>ob</t>
        </is>
      </c>
      <c r="D33" t="inlineStr">
        <is>
          <t>Observation Bay</t>
        </is>
      </c>
      <c r="E33" t="inlineStr">
        <is>
          <t>crisis</t>
        </is>
      </c>
      <c r="F33" t="inlineStr">
        <is>
          <t>ED WCC Observation Bay bed 10 — escalation capacity, crisis mode active</t>
        </is>
      </c>
    </row>
    <row r="34">
      <c r="A34" t="inlineStr">
        <is>
          <t>wccab01</t>
        </is>
      </c>
      <c r="B34" t="inlineStr">
        <is>
          <t>ED WCC</t>
        </is>
      </c>
      <c r="C34" t="inlineStr">
        <is>
          <t>ab</t>
        </is>
      </c>
      <c r="D34" t="inlineStr">
        <is>
          <t>Asthma Bay</t>
        </is>
      </c>
      <c r="E34" t="inlineStr">
        <is>
          <t>funded</t>
        </is>
      </c>
      <c r="F34" t="inlineStr">
        <is>
          <t>ED WCC Asthma Bay sofa 01</t>
        </is>
      </c>
    </row>
    <row r="35">
      <c r="A35" t="inlineStr">
        <is>
          <t>wccab02</t>
        </is>
      </c>
      <c r="B35" t="inlineStr">
        <is>
          <t>ED WCC</t>
        </is>
      </c>
      <c r="C35" t="inlineStr">
        <is>
          <t>ab</t>
        </is>
      </c>
      <c r="D35" t="inlineStr">
        <is>
          <t>Asthma Bay</t>
        </is>
      </c>
      <c r="E35" t="inlineStr">
        <is>
          <t>funded</t>
        </is>
      </c>
      <c r="F35" t="inlineStr">
        <is>
          <t>ED WCC Asthma Bay sofa 02</t>
        </is>
      </c>
    </row>
    <row r="36">
      <c r="A36" t="inlineStr">
        <is>
          <t>wccab03</t>
        </is>
      </c>
      <c r="B36" t="inlineStr">
        <is>
          <t>ED WCC</t>
        </is>
      </c>
      <c r="C36" t="inlineStr">
        <is>
          <t>ab</t>
        </is>
      </c>
      <c r="D36" t="inlineStr">
        <is>
          <t>Asthma Bay</t>
        </is>
      </c>
      <c r="E36" t="inlineStr">
        <is>
          <t>funded</t>
        </is>
      </c>
      <c r="F36" t="inlineStr">
        <is>
          <t>ED WCC Asthma Bay sofa 03</t>
        </is>
      </c>
    </row>
    <row r="37">
      <c r="A37" t="inlineStr">
        <is>
          <t>wccab04</t>
        </is>
      </c>
      <c r="B37" t="inlineStr">
        <is>
          <t>ED WCC</t>
        </is>
      </c>
      <c r="C37" t="inlineStr">
        <is>
          <t>ab</t>
        </is>
      </c>
      <c r="D37" t="inlineStr">
        <is>
          <t>Asthma Bay</t>
        </is>
      </c>
      <c r="E37" t="inlineStr">
        <is>
          <t>funded</t>
        </is>
      </c>
      <c r="F37" t="inlineStr">
        <is>
          <t>ED WCC Asthma Bay sofa 04</t>
        </is>
      </c>
    </row>
    <row r="38">
      <c r="A38" t="inlineStr">
        <is>
          <t>wccgz01</t>
        </is>
      </c>
      <c r="B38" t="inlineStr">
        <is>
          <t>ED WCC</t>
        </is>
      </c>
      <c r="C38" t="inlineStr">
        <is>
          <t>gz</t>
        </is>
      </c>
      <c r="D38" t="inlineStr">
        <is>
          <t>Green Zone</t>
        </is>
      </c>
      <c r="E38" t="inlineStr">
        <is>
          <t>funded</t>
        </is>
      </c>
      <c r="F38" t="inlineStr">
        <is>
          <t>ED WCC Green Zone consultation room 01</t>
        </is>
      </c>
    </row>
    <row r="39">
      <c r="A39" t="inlineStr">
        <is>
          <t>wccgz02</t>
        </is>
      </c>
      <c r="B39" t="inlineStr">
        <is>
          <t>ED WCC</t>
        </is>
      </c>
      <c r="C39" t="inlineStr">
        <is>
          <t>gz</t>
        </is>
      </c>
      <c r="D39" t="inlineStr">
        <is>
          <t>Green Zone</t>
        </is>
      </c>
      <c r="E39" t="inlineStr">
        <is>
          <t>funded</t>
        </is>
      </c>
      <c r="F39" t="inlineStr">
        <is>
          <t>ED WCC Green Zone consultation room 02</t>
        </is>
      </c>
    </row>
    <row r="40">
      <c r="A40" t="inlineStr">
        <is>
          <t>wccgz-waiting</t>
        </is>
      </c>
      <c r="B40" t="inlineStr">
        <is>
          <t>ED WCC</t>
        </is>
      </c>
      <c r="C40" t="inlineStr">
        <is>
          <t>gz</t>
        </is>
      </c>
      <c r="D40" t="inlineStr">
        <is>
          <t>Green Zone</t>
        </is>
      </c>
      <c r="E40" t="inlineStr">
        <is>
          <t>waiting</t>
        </is>
      </c>
      <c r="F40" t="inlineStr">
        <is>
          <t>ED WCC Green Zone waiting area — holds a queue number, not a bed</t>
        </is>
      </c>
    </row>
    <row r="41">
      <c r="A41" t="inlineStr">
        <is>
          <t>burz01</t>
        </is>
      </c>
      <c r="B41" t="inlineStr">
        <is>
          <t>ED BU</t>
        </is>
      </c>
      <c r="C41" t="inlineStr">
        <is>
          <t>rz</t>
        </is>
      </c>
      <c r="D41" t="inlineStr">
        <is>
          <t>Red Zone</t>
        </is>
      </c>
      <c r="E41" t="inlineStr">
        <is>
          <t>funded</t>
        </is>
      </c>
      <c r="F41" t="inlineStr">
        <is>
          <t>ED BU Red Zone bed 01</t>
        </is>
      </c>
    </row>
    <row r="42">
      <c r="A42" t="inlineStr">
        <is>
          <t>burz02</t>
        </is>
      </c>
      <c r="B42" t="inlineStr">
        <is>
          <t>ED BU</t>
        </is>
      </c>
      <c r="C42" t="inlineStr">
        <is>
          <t>rz</t>
        </is>
      </c>
      <c r="D42" t="inlineStr">
        <is>
          <t>Red Zone</t>
        </is>
      </c>
      <c r="E42" t="inlineStr">
        <is>
          <t>funded</t>
        </is>
      </c>
      <c r="F42" t="inlineStr">
        <is>
          <t>ED BU Red Zone bed 02</t>
        </is>
      </c>
    </row>
    <row r="43">
      <c r="A43" t="inlineStr">
        <is>
          <t>burz03</t>
        </is>
      </c>
      <c r="B43" t="inlineStr">
        <is>
          <t>ED BU</t>
        </is>
      </c>
      <c r="C43" t="inlineStr">
        <is>
          <t>rz</t>
        </is>
      </c>
      <c r="D43" t="inlineStr">
        <is>
          <t>Red Zone</t>
        </is>
      </c>
      <c r="E43" t="inlineStr">
        <is>
          <t>funded</t>
        </is>
      </c>
      <c r="F43" t="inlineStr">
        <is>
          <t>ED BU Red Zone bed 03</t>
        </is>
      </c>
    </row>
    <row r="44">
      <c r="A44" t="inlineStr">
        <is>
          <t>burz04</t>
        </is>
      </c>
      <c r="B44" t="inlineStr">
        <is>
          <t>ED BU</t>
        </is>
      </c>
      <c r="C44" t="inlineStr">
        <is>
          <t>rz</t>
        </is>
      </c>
      <c r="D44" t="inlineStr">
        <is>
          <t>Red Zone</t>
        </is>
      </c>
      <c r="E44" t="inlineStr">
        <is>
          <t>funded</t>
        </is>
      </c>
      <c r="F44" t="inlineStr">
        <is>
          <t>ED BU Red Zone bed 04</t>
        </is>
      </c>
    </row>
    <row r="45">
      <c r="A45" t="inlineStr">
        <is>
          <t>burz05</t>
        </is>
      </c>
      <c r="B45" t="inlineStr">
        <is>
          <t>ED BU</t>
        </is>
      </c>
      <c r="C45" t="inlineStr">
        <is>
          <t>rz</t>
        </is>
      </c>
      <c r="D45" t="inlineStr">
        <is>
          <t>Red Zone</t>
        </is>
      </c>
      <c r="E45" t="inlineStr">
        <is>
          <t>funded</t>
        </is>
      </c>
      <c r="F45" t="inlineStr">
        <is>
          <t>ED BU Red Zone bed 05</t>
        </is>
      </c>
    </row>
    <row r="46">
      <c r="A46" t="inlineStr">
        <is>
          <t>burz06</t>
        </is>
      </c>
      <c r="B46" t="inlineStr">
        <is>
          <t>ED BU</t>
        </is>
      </c>
      <c r="C46" t="inlineStr">
        <is>
          <t>rz</t>
        </is>
      </c>
      <c r="D46" t="inlineStr">
        <is>
          <t>Red Zone</t>
        </is>
      </c>
      <c r="E46" t="inlineStr">
        <is>
          <t>funded</t>
        </is>
      </c>
      <c r="F46" t="inlineStr">
        <is>
          <t>ED BU Red Zone bed 06</t>
        </is>
      </c>
    </row>
    <row r="47">
      <c r="A47" t="inlineStr">
        <is>
          <t>burz07crisis</t>
        </is>
      </c>
      <c r="B47" t="inlineStr">
        <is>
          <t>ED BU</t>
        </is>
      </c>
      <c r="C47" t="inlineStr">
        <is>
          <t>rz</t>
        </is>
      </c>
      <c r="D47" t="inlineStr">
        <is>
          <t>Red Zone</t>
        </is>
      </c>
      <c r="E47" t="inlineStr">
        <is>
          <t>crisis</t>
        </is>
      </c>
      <c r="F47" t="inlineStr">
        <is>
          <t>ED BU Red Zone bed 07 — escalation capacity, crisis mode active</t>
        </is>
      </c>
    </row>
    <row r="48">
      <c r="A48" t="inlineStr">
        <is>
          <t>burz08crisis</t>
        </is>
      </c>
      <c r="B48" t="inlineStr">
        <is>
          <t>ED BU</t>
        </is>
      </c>
      <c r="C48" t="inlineStr">
        <is>
          <t>rz</t>
        </is>
      </c>
      <c r="D48" t="inlineStr">
        <is>
          <t>Red Zone</t>
        </is>
      </c>
      <c r="E48" t="inlineStr">
        <is>
          <t>crisis</t>
        </is>
      </c>
      <c r="F48" t="inlineStr">
        <is>
          <t>ED BU Red Zone bed 08 — escalation capacity, crisis mode active</t>
        </is>
      </c>
    </row>
    <row r="49">
      <c r="A49" t="inlineStr">
        <is>
          <t>burz09crisis</t>
        </is>
      </c>
      <c r="B49" t="inlineStr">
        <is>
          <t>ED BU</t>
        </is>
      </c>
      <c r="C49" t="inlineStr">
        <is>
          <t>rz</t>
        </is>
      </c>
      <c r="D49" t="inlineStr">
        <is>
          <t>Red Zone</t>
        </is>
      </c>
      <c r="E49" t="inlineStr">
        <is>
          <t>crisis</t>
        </is>
      </c>
      <c r="F49" t="inlineStr">
        <is>
          <t>ED BU Red Zone bed 09 — escalation capacity, crisis mode active</t>
        </is>
      </c>
    </row>
    <row r="50">
      <c r="A50" t="inlineStr">
        <is>
          <t>burz10crisis</t>
        </is>
      </c>
      <c r="B50" t="inlineStr">
        <is>
          <t>ED BU</t>
        </is>
      </c>
      <c r="C50" t="inlineStr">
        <is>
          <t>rz</t>
        </is>
      </c>
      <c r="D50" t="inlineStr">
        <is>
          <t>Red Zone</t>
        </is>
      </c>
      <c r="E50" t="inlineStr">
        <is>
          <t>crisis</t>
        </is>
      </c>
      <c r="F50" t="inlineStr">
        <is>
          <t>ED BU Red Zone bed 10 — escalation capacity, crisis mode active</t>
        </is>
      </c>
    </row>
    <row r="51">
      <c r="A51" t="inlineStr">
        <is>
          <t>burz11crisis</t>
        </is>
      </c>
      <c r="B51" t="inlineStr">
        <is>
          <t>ED BU</t>
        </is>
      </c>
      <c r="C51" t="inlineStr">
        <is>
          <t>rz</t>
        </is>
      </c>
      <c r="D51" t="inlineStr">
        <is>
          <t>Red Zone</t>
        </is>
      </c>
      <c r="E51" t="inlineStr">
        <is>
          <t>crisis</t>
        </is>
      </c>
      <c r="F51" t="inlineStr">
        <is>
          <t>ED BU Red Zone bed 11 — escalation capacity, crisis mode active</t>
        </is>
      </c>
    </row>
    <row r="52">
      <c r="A52" t="inlineStr">
        <is>
          <t>burz12crisis</t>
        </is>
      </c>
      <c r="B52" t="inlineStr">
        <is>
          <t>ED BU</t>
        </is>
      </c>
      <c r="C52" t="inlineStr">
        <is>
          <t>rz</t>
        </is>
      </c>
      <c r="D52" t="inlineStr">
        <is>
          <t>Red Zone</t>
        </is>
      </c>
      <c r="E52" t="inlineStr">
        <is>
          <t>crisis</t>
        </is>
      </c>
      <c r="F52" t="inlineStr">
        <is>
          <t>ED BU Red Zone bed 12 — escalation capacity, crisis mode active</t>
        </is>
      </c>
    </row>
    <row r="53">
      <c r="A53" t="inlineStr">
        <is>
          <t>buyz01</t>
        </is>
      </c>
      <c r="B53" t="inlineStr">
        <is>
          <t>ED BU</t>
        </is>
      </c>
      <c r="C53" t="inlineStr">
        <is>
          <t>yz</t>
        </is>
      </c>
      <c r="D53" t="inlineStr">
        <is>
          <t>Yellow Zone</t>
        </is>
      </c>
      <c r="E53" t="inlineStr">
        <is>
          <t>funded</t>
        </is>
      </c>
      <c r="F53" t="inlineStr">
        <is>
          <t>ED BU Yellow Zone bed 01</t>
        </is>
      </c>
    </row>
    <row r="54">
      <c r="A54" t="inlineStr">
        <is>
          <t>buyz02</t>
        </is>
      </c>
      <c r="B54" t="inlineStr">
        <is>
          <t>ED BU</t>
        </is>
      </c>
      <c r="C54" t="inlineStr">
        <is>
          <t>yz</t>
        </is>
      </c>
      <c r="D54" t="inlineStr">
        <is>
          <t>Yellow Zone</t>
        </is>
      </c>
      <c r="E54" t="inlineStr">
        <is>
          <t>funded</t>
        </is>
      </c>
      <c r="F54" t="inlineStr">
        <is>
          <t>ED BU Yellow Zone bed 02</t>
        </is>
      </c>
    </row>
    <row r="55">
      <c r="A55" t="inlineStr">
        <is>
          <t>buyz03</t>
        </is>
      </c>
      <c r="B55" t="inlineStr">
        <is>
          <t>ED BU</t>
        </is>
      </c>
      <c r="C55" t="inlineStr">
        <is>
          <t>yz</t>
        </is>
      </c>
      <c r="D55" t="inlineStr">
        <is>
          <t>Yellow Zone</t>
        </is>
      </c>
      <c r="E55" t="inlineStr">
        <is>
          <t>funded</t>
        </is>
      </c>
      <c r="F55" t="inlineStr">
        <is>
          <t>ED BU Yellow Zone bed 03</t>
        </is>
      </c>
    </row>
    <row r="56">
      <c r="A56" t="inlineStr">
        <is>
          <t>buyz04</t>
        </is>
      </c>
      <c r="B56" t="inlineStr">
        <is>
          <t>ED BU</t>
        </is>
      </c>
      <c r="C56" t="inlineStr">
        <is>
          <t>yz</t>
        </is>
      </c>
      <c r="D56" t="inlineStr">
        <is>
          <t>Yellow Zone</t>
        </is>
      </c>
      <c r="E56" t="inlineStr">
        <is>
          <t>funded</t>
        </is>
      </c>
      <c r="F56" t="inlineStr">
        <is>
          <t>ED BU Yellow Zone bed 04</t>
        </is>
      </c>
    </row>
    <row r="57">
      <c r="A57" t="inlineStr">
        <is>
          <t>buyz05</t>
        </is>
      </c>
      <c r="B57" t="inlineStr">
        <is>
          <t>ED BU</t>
        </is>
      </c>
      <c r="C57" t="inlineStr">
        <is>
          <t>yz</t>
        </is>
      </c>
      <c r="D57" t="inlineStr">
        <is>
          <t>Yellow Zone</t>
        </is>
      </c>
      <c r="E57" t="inlineStr">
        <is>
          <t>funded</t>
        </is>
      </c>
      <c r="F57" t="inlineStr">
        <is>
          <t>ED BU Yellow Zone bed 05</t>
        </is>
      </c>
    </row>
    <row r="58">
      <c r="A58" t="inlineStr">
        <is>
          <t>buyz06</t>
        </is>
      </c>
      <c r="B58" t="inlineStr">
        <is>
          <t>ED BU</t>
        </is>
      </c>
      <c r="C58" t="inlineStr">
        <is>
          <t>yz</t>
        </is>
      </c>
      <c r="D58" t="inlineStr">
        <is>
          <t>Yellow Zone</t>
        </is>
      </c>
      <c r="E58" t="inlineStr">
        <is>
          <t>funded</t>
        </is>
      </c>
      <c r="F58" t="inlineStr">
        <is>
          <t>ED BU Yellow Zone bed 06</t>
        </is>
      </c>
    </row>
    <row r="59">
      <c r="A59" t="inlineStr">
        <is>
          <t>buyz07</t>
        </is>
      </c>
      <c r="B59" t="inlineStr">
        <is>
          <t>ED BU</t>
        </is>
      </c>
      <c r="C59" t="inlineStr">
        <is>
          <t>yz</t>
        </is>
      </c>
      <c r="D59" t="inlineStr">
        <is>
          <t>Yellow Zone</t>
        </is>
      </c>
      <c r="E59" t="inlineStr">
        <is>
          <t>funded</t>
        </is>
      </c>
      <c r="F59" t="inlineStr">
        <is>
          <t>ED BU Yellow Zone bed 07</t>
        </is>
      </c>
    </row>
    <row r="60">
      <c r="A60" t="inlineStr">
        <is>
          <t>buyz08</t>
        </is>
      </c>
      <c r="B60" t="inlineStr">
        <is>
          <t>ED BU</t>
        </is>
      </c>
      <c r="C60" t="inlineStr">
        <is>
          <t>yz</t>
        </is>
      </c>
      <c r="D60" t="inlineStr">
        <is>
          <t>Yellow Zone</t>
        </is>
      </c>
      <c r="E60" t="inlineStr">
        <is>
          <t>funded</t>
        </is>
      </c>
      <c r="F60" t="inlineStr">
        <is>
          <t>ED BU Yellow Zone bed 08</t>
        </is>
      </c>
    </row>
    <row r="61">
      <c r="A61" t="inlineStr">
        <is>
          <t>buyz09</t>
        </is>
      </c>
      <c r="B61" t="inlineStr">
        <is>
          <t>ED BU</t>
        </is>
      </c>
      <c r="C61" t="inlineStr">
        <is>
          <t>yz</t>
        </is>
      </c>
      <c r="D61" t="inlineStr">
        <is>
          <t>Yellow Zone</t>
        </is>
      </c>
      <c r="E61" t="inlineStr">
        <is>
          <t>funded</t>
        </is>
      </c>
      <c r="F61" t="inlineStr">
        <is>
          <t>ED BU Yellow Zone bed 09</t>
        </is>
      </c>
    </row>
    <row r="62">
      <c r="A62" t="inlineStr">
        <is>
          <t>buyz10</t>
        </is>
      </c>
      <c r="B62" t="inlineStr">
        <is>
          <t>ED BU</t>
        </is>
      </c>
      <c r="C62" t="inlineStr">
        <is>
          <t>yz</t>
        </is>
      </c>
      <c r="D62" t="inlineStr">
        <is>
          <t>Yellow Zone</t>
        </is>
      </c>
      <c r="E62" t="inlineStr">
        <is>
          <t>funded</t>
        </is>
      </c>
      <c r="F62" t="inlineStr">
        <is>
          <t>ED BU Yellow Zone bed 10</t>
        </is>
      </c>
    </row>
    <row r="63">
      <c r="A63" t="inlineStr">
        <is>
          <t>buyz11</t>
        </is>
      </c>
      <c r="B63" t="inlineStr">
        <is>
          <t>ED BU</t>
        </is>
      </c>
      <c r="C63" t="inlineStr">
        <is>
          <t>yz</t>
        </is>
      </c>
      <c r="D63" t="inlineStr">
        <is>
          <t>Yellow Zone</t>
        </is>
      </c>
      <c r="E63" t="inlineStr">
        <is>
          <t>funded</t>
        </is>
      </c>
      <c r="F63" t="inlineStr">
        <is>
          <t>ED BU Yellow Zone bed 11</t>
        </is>
      </c>
    </row>
    <row r="64">
      <c r="A64" t="inlineStr">
        <is>
          <t>buyz12</t>
        </is>
      </c>
      <c r="B64" t="inlineStr">
        <is>
          <t>ED BU</t>
        </is>
      </c>
      <c r="C64" t="inlineStr">
        <is>
          <t>yz</t>
        </is>
      </c>
      <c r="D64" t="inlineStr">
        <is>
          <t>Yellow Zone</t>
        </is>
      </c>
      <c r="E64" t="inlineStr">
        <is>
          <t>funded</t>
        </is>
      </c>
      <c r="F64" t="inlineStr">
        <is>
          <t>ED BU Yellow Zone bed 12</t>
        </is>
      </c>
    </row>
    <row r="65">
      <c r="A65" t="inlineStr">
        <is>
          <t>buyz13</t>
        </is>
      </c>
      <c r="B65" t="inlineStr">
        <is>
          <t>ED BU</t>
        </is>
      </c>
      <c r="C65" t="inlineStr">
        <is>
          <t>yz</t>
        </is>
      </c>
      <c r="D65" t="inlineStr">
        <is>
          <t>Yellow Zone</t>
        </is>
      </c>
      <c r="E65" t="inlineStr">
        <is>
          <t>funded</t>
        </is>
      </c>
      <c r="F65" t="inlineStr">
        <is>
          <t>ED BU Yellow Zone bed 13</t>
        </is>
      </c>
    </row>
    <row r="66">
      <c r="A66" t="inlineStr">
        <is>
          <t>buyz14</t>
        </is>
      </c>
      <c r="B66" t="inlineStr">
        <is>
          <t>ED BU</t>
        </is>
      </c>
      <c r="C66" t="inlineStr">
        <is>
          <t>yz</t>
        </is>
      </c>
      <c r="D66" t="inlineStr">
        <is>
          <t>Yellow Zone</t>
        </is>
      </c>
      <c r="E66" t="inlineStr">
        <is>
          <t>funded</t>
        </is>
      </c>
      <c r="F66" t="inlineStr">
        <is>
          <t>ED BU Yellow Zone bed 14</t>
        </is>
      </c>
    </row>
    <row r="67">
      <c r="A67" t="inlineStr">
        <is>
          <t>buyz15</t>
        </is>
      </c>
      <c r="B67" t="inlineStr">
        <is>
          <t>ED BU</t>
        </is>
      </c>
      <c r="C67" t="inlineStr">
        <is>
          <t>yz</t>
        </is>
      </c>
      <c r="D67" t="inlineStr">
        <is>
          <t>Yellow Zone</t>
        </is>
      </c>
      <c r="E67" t="inlineStr">
        <is>
          <t>funded</t>
        </is>
      </c>
      <c r="F67" t="inlineStr">
        <is>
          <t>ED BU Yellow Zone bed 15</t>
        </is>
      </c>
    </row>
    <row r="68">
      <c r="A68" t="inlineStr">
        <is>
          <t>buyz16</t>
        </is>
      </c>
      <c r="B68" t="inlineStr">
        <is>
          <t>ED BU</t>
        </is>
      </c>
      <c r="C68" t="inlineStr">
        <is>
          <t>yz</t>
        </is>
      </c>
      <c r="D68" t="inlineStr">
        <is>
          <t>Yellow Zone</t>
        </is>
      </c>
      <c r="E68" t="inlineStr">
        <is>
          <t>funded</t>
        </is>
      </c>
      <c r="F68" t="inlineStr">
        <is>
          <t>ED BU Yellow Zone bed 16</t>
        </is>
      </c>
    </row>
    <row r="69">
      <c r="A69" t="inlineStr">
        <is>
          <t>buyz17crisis</t>
        </is>
      </c>
      <c r="B69" t="inlineStr">
        <is>
          <t>ED BU</t>
        </is>
      </c>
      <c r="C69" t="inlineStr">
        <is>
          <t>yz</t>
        </is>
      </c>
      <c r="D69" t="inlineStr">
        <is>
          <t>Yellow Zone</t>
        </is>
      </c>
      <c r="E69" t="inlineStr">
        <is>
          <t>crisis</t>
        </is>
      </c>
      <c r="F69" t="inlineStr">
        <is>
          <t>ED BU Yellow Zone bed 17 — escalation capacity, crisis mode active</t>
        </is>
      </c>
    </row>
    <row r="70">
      <c r="A70" t="inlineStr">
        <is>
          <t>buyz18crisis</t>
        </is>
      </c>
      <c r="B70" t="inlineStr">
        <is>
          <t>ED BU</t>
        </is>
      </c>
      <c r="C70" t="inlineStr">
        <is>
          <t>yz</t>
        </is>
      </c>
      <c r="D70" t="inlineStr">
        <is>
          <t>Yellow Zone</t>
        </is>
      </c>
      <c r="E70" t="inlineStr">
        <is>
          <t>crisis</t>
        </is>
      </c>
      <c r="F70" t="inlineStr">
        <is>
          <t>ED BU Yellow Zone bed 18 — escalation capacity, crisis mode active</t>
        </is>
      </c>
    </row>
    <row r="71">
      <c r="A71" t="inlineStr">
        <is>
          <t>buyz19crisis</t>
        </is>
      </c>
      <c r="B71" t="inlineStr">
        <is>
          <t>ED BU</t>
        </is>
      </c>
      <c r="C71" t="inlineStr">
        <is>
          <t>yz</t>
        </is>
      </c>
      <c r="D71" t="inlineStr">
        <is>
          <t>Yellow Zone</t>
        </is>
      </c>
      <c r="E71" t="inlineStr">
        <is>
          <t>crisis</t>
        </is>
      </c>
      <c r="F71" t="inlineStr">
        <is>
          <t>ED BU Yellow Zone bed 19 — escalation capacity, crisis mode active</t>
        </is>
      </c>
    </row>
    <row r="72">
      <c r="A72" t="inlineStr">
        <is>
          <t>buyz20crisis</t>
        </is>
      </c>
      <c r="B72" t="inlineStr">
        <is>
          <t>ED BU</t>
        </is>
      </c>
      <c r="C72" t="inlineStr">
        <is>
          <t>yz</t>
        </is>
      </c>
      <c r="D72" t="inlineStr">
        <is>
          <t>Yellow Zone</t>
        </is>
      </c>
      <c r="E72" t="inlineStr">
        <is>
          <t>crisis</t>
        </is>
      </c>
      <c r="F72" t="inlineStr">
        <is>
          <t>ED BU Yellow Zone bed 20 — escalation capacity, crisis mode active</t>
        </is>
      </c>
    </row>
    <row r="73">
      <c r="A73" t="inlineStr">
        <is>
          <t>buyz21crisis</t>
        </is>
      </c>
      <c r="B73" t="inlineStr">
        <is>
          <t>ED BU</t>
        </is>
      </c>
      <c r="C73" t="inlineStr">
        <is>
          <t>yz</t>
        </is>
      </c>
      <c r="D73" t="inlineStr">
        <is>
          <t>Yellow Zone</t>
        </is>
      </c>
      <c r="E73" t="inlineStr">
        <is>
          <t>crisis</t>
        </is>
      </c>
      <c r="F73" t="inlineStr">
        <is>
          <t>ED BU Yellow Zone bed 21 — escalation capacity, crisis mode active</t>
        </is>
      </c>
    </row>
    <row r="74">
      <c r="A74" t="inlineStr">
        <is>
          <t>buyz22crisis</t>
        </is>
      </c>
      <c r="B74" t="inlineStr">
        <is>
          <t>ED BU</t>
        </is>
      </c>
      <c r="C74" t="inlineStr">
        <is>
          <t>yz</t>
        </is>
      </c>
      <c r="D74" t="inlineStr">
        <is>
          <t>Yellow Zone</t>
        </is>
      </c>
      <c r="E74" t="inlineStr">
        <is>
          <t>crisis</t>
        </is>
      </c>
      <c r="F74" t="inlineStr">
        <is>
          <t>ED BU Yellow Zone bed 22 — escalation capacity, crisis mode active</t>
        </is>
      </c>
    </row>
    <row r="75">
      <c r="A75" t="inlineStr">
        <is>
          <t>buyz23crisis</t>
        </is>
      </c>
      <c r="B75" t="inlineStr">
        <is>
          <t>ED BU</t>
        </is>
      </c>
      <c r="C75" t="inlineStr">
        <is>
          <t>yz</t>
        </is>
      </c>
      <c r="D75" t="inlineStr">
        <is>
          <t>Yellow Zone</t>
        </is>
      </c>
      <c r="E75" t="inlineStr">
        <is>
          <t>crisis</t>
        </is>
      </c>
      <c r="F75" t="inlineStr">
        <is>
          <t>ED BU Yellow Zone bed 23 — escalation capacity, crisis mode active</t>
        </is>
      </c>
    </row>
    <row r="76">
      <c r="A76" t="inlineStr">
        <is>
          <t>buyz24crisis</t>
        </is>
      </c>
      <c r="B76" t="inlineStr">
        <is>
          <t>ED BU</t>
        </is>
      </c>
      <c r="C76" t="inlineStr">
        <is>
          <t>yz</t>
        </is>
      </c>
      <c r="D76" t="inlineStr">
        <is>
          <t>Yellow Zone</t>
        </is>
      </c>
      <c r="E76" t="inlineStr">
        <is>
          <t>crisis</t>
        </is>
      </c>
      <c r="F76" t="inlineStr">
        <is>
          <t>ED BU Yellow Zone bed 24 — escalation capacity, crisis mode active</t>
        </is>
      </c>
    </row>
    <row r="77">
      <c r="A77" t="inlineStr">
        <is>
          <t>buyz25crisis</t>
        </is>
      </c>
      <c r="B77" t="inlineStr">
        <is>
          <t>ED BU</t>
        </is>
      </c>
      <c r="C77" t="inlineStr">
        <is>
          <t>yz</t>
        </is>
      </c>
      <c r="D77" t="inlineStr">
        <is>
          <t>Yellow Zone</t>
        </is>
      </c>
      <c r="E77" t="inlineStr">
        <is>
          <t>crisis</t>
        </is>
      </c>
      <c r="F77" t="inlineStr">
        <is>
          <t>ED BU Yellow Zone bed 25 — escalation capacity, crisis mode active</t>
        </is>
      </c>
    </row>
    <row r="78">
      <c r="A78" t="inlineStr">
        <is>
          <t>buyz26crisis</t>
        </is>
      </c>
      <c r="B78" t="inlineStr">
        <is>
          <t>ED BU</t>
        </is>
      </c>
      <c r="C78" t="inlineStr">
        <is>
          <t>yz</t>
        </is>
      </c>
      <c r="D78" t="inlineStr">
        <is>
          <t>Yellow Zone</t>
        </is>
      </c>
      <c r="E78" t="inlineStr">
        <is>
          <t>crisis</t>
        </is>
      </c>
      <c r="F78" t="inlineStr">
        <is>
          <t>ED BU Yellow Zone bed 26 — escalation capacity, crisis mode active</t>
        </is>
      </c>
    </row>
    <row r="79">
      <c r="A79" t="inlineStr">
        <is>
          <t>buyz27crisis</t>
        </is>
      </c>
      <c r="B79" t="inlineStr">
        <is>
          <t>ED BU</t>
        </is>
      </c>
      <c r="C79" t="inlineStr">
        <is>
          <t>yz</t>
        </is>
      </c>
      <c r="D79" t="inlineStr">
        <is>
          <t>Yellow Zone</t>
        </is>
      </c>
      <c r="E79" t="inlineStr">
        <is>
          <t>crisis</t>
        </is>
      </c>
      <c r="F79" t="inlineStr">
        <is>
          <t>ED BU Yellow Zone bed 27 — escalation capacity, crisis mode active</t>
        </is>
      </c>
    </row>
    <row r="80">
      <c r="A80" t="inlineStr">
        <is>
          <t>buyz28crisis</t>
        </is>
      </c>
      <c r="B80" t="inlineStr">
        <is>
          <t>ED BU</t>
        </is>
      </c>
      <c r="C80" t="inlineStr">
        <is>
          <t>yz</t>
        </is>
      </c>
      <c r="D80" t="inlineStr">
        <is>
          <t>Yellow Zone</t>
        </is>
      </c>
      <c r="E80" t="inlineStr">
        <is>
          <t>crisis</t>
        </is>
      </c>
      <c r="F80" t="inlineStr">
        <is>
          <t>ED BU Yellow Zone bed 28 — escalation capacity, crisis mode active</t>
        </is>
      </c>
    </row>
    <row r="81">
      <c r="A81" t="inlineStr">
        <is>
          <t>buyz29crisis</t>
        </is>
      </c>
      <c r="B81" t="inlineStr">
        <is>
          <t>ED BU</t>
        </is>
      </c>
      <c r="C81" t="inlineStr">
        <is>
          <t>yz</t>
        </is>
      </c>
      <c r="D81" t="inlineStr">
        <is>
          <t>Yellow Zone</t>
        </is>
      </c>
      <c r="E81" t="inlineStr">
        <is>
          <t>crisis</t>
        </is>
      </c>
      <c r="F81" t="inlineStr">
        <is>
          <t>ED BU Yellow Zone bed 29 — escalation capacity, crisis mode active</t>
        </is>
      </c>
    </row>
    <row r="82">
      <c r="A82" t="inlineStr">
        <is>
          <t>buyz30crisis</t>
        </is>
      </c>
      <c r="B82" t="inlineStr">
        <is>
          <t>ED BU</t>
        </is>
      </c>
      <c r="C82" t="inlineStr">
        <is>
          <t>yz</t>
        </is>
      </c>
      <c r="D82" t="inlineStr">
        <is>
          <t>Yellow Zone</t>
        </is>
      </c>
      <c r="E82" t="inlineStr">
        <is>
          <t>crisis</t>
        </is>
      </c>
      <c r="F82" t="inlineStr">
        <is>
          <t>ED BU Yellow Zone bed 30 — escalation capacity, crisis mode active</t>
        </is>
      </c>
    </row>
    <row r="83">
      <c r="A83" t="inlineStr">
        <is>
          <t>buyz31crisis</t>
        </is>
      </c>
      <c r="B83" t="inlineStr">
        <is>
          <t>ED BU</t>
        </is>
      </c>
      <c r="C83" t="inlineStr">
        <is>
          <t>yz</t>
        </is>
      </c>
      <c r="D83" t="inlineStr">
        <is>
          <t>Yellow Zone</t>
        </is>
      </c>
      <c r="E83" t="inlineStr">
        <is>
          <t>crisis</t>
        </is>
      </c>
      <c r="F83" t="inlineStr">
        <is>
          <t>ED BU Yellow Zone bed 31 — escalation capacity, crisis mode active</t>
        </is>
      </c>
    </row>
    <row r="84">
      <c r="A84" t="inlineStr">
        <is>
          <t>buyz32crisis</t>
        </is>
      </c>
      <c r="B84" t="inlineStr">
        <is>
          <t>ED BU</t>
        </is>
      </c>
      <c r="C84" t="inlineStr">
        <is>
          <t>yz</t>
        </is>
      </c>
      <c r="D84" t="inlineStr">
        <is>
          <t>Yellow Zone</t>
        </is>
      </c>
      <c r="E84" t="inlineStr">
        <is>
          <t>crisis</t>
        </is>
      </c>
      <c r="F84" t="inlineStr">
        <is>
          <t>ED BU Yellow Zone bed 32 — escalation capacity, crisis mode active</t>
        </is>
      </c>
    </row>
    <row r="85">
      <c r="A85" t="inlineStr">
        <is>
          <t>buyz33crisis</t>
        </is>
      </c>
      <c r="B85" t="inlineStr">
        <is>
          <t>ED BU</t>
        </is>
      </c>
      <c r="C85" t="inlineStr">
        <is>
          <t>yz</t>
        </is>
      </c>
      <c r="D85" t="inlineStr">
        <is>
          <t>Yellow Zone</t>
        </is>
      </c>
      <c r="E85" t="inlineStr">
        <is>
          <t>crisis</t>
        </is>
      </c>
      <c r="F85" t="inlineStr">
        <is>
          <t>ED BU Yellow Zone bed 33 — escalation capacity, crisis mode active</t>
        </is>
      </c>
    </row>
    <row r="86">
      <c r="A86" t="inlineStr">
        <is>
          <t>buyz34crisis</t>
        </is>
      </c>
      <c r="B86" t="inlineStr">
        <is>
          <t>ED BU</t>
        </is>
      </c>
      <c r="C86" t="inlineStr">
        <is>
          <t>yz</t>
        </is>
      </c>
      <c r="D86" t="inlineStr">
        <is>
          <t>Yellow Zone</t>
        </is>
      </c>
      <c r="E86" t="inlineStr">
        <is>
          <t>crisis</t>
        </is>
      </c>
      <c r="F86" t="inlineStr">
        <is>
          <t>ED BU Yellow Zone bed 34 — escalation capacity, crisis mode active</t>
        </is>
      </c>
    </row>
    <row r="87">
      <c r="A87" t="inlineStr">
        <is>
          <t>buyz35crisis</t>
        </is>
      </c>
      <c r="B87" t="inlineStr">
        <is>
          <t>ED BU</t>
        </is>
      </c>
      <c r="C87" t="inlineStr">
        <is>
          <t>yz</t>
        </is>
      </c>
      <c r="D87" t="inlineStr">
        <is>
          <t>Yellow Zone</t>
        </is>
      </c>
      <c r="E87" t="inlineStr">
        <is>
          <t>crisis</t>
        </is>
      </c>
      <c r="F87" t="inlineStr">
        <is>
          <t>ED BU Yellow Zone bed 35 — escalation capacity, crisis mode active</t>
        </is>
      </c>
    </row>
    <row r="88">
      <c r="A88" t="inlineStr">
        <is>
          <t>buyz36crisis</t>
        </is>
      </c>
      <c r="B88" t="inlineStr">
        <is>
          <t>ED BU</t>
        </is>
      </c>
      <c r="C88" t="inlineStr">
        <is>
          <t>yz</t>
        </is>
      </c>
      <c r="D88" t="inlineStr">
        <is>
          <t>Yellow Zone</t>
        </is>
      </c>
      <c r="E88" t="inlineStr">
        <is>
          <t>crisis</t>
        </is>
      </c>
      <c r="F88" t="inlineStr">
        <is>
          <t>ED BU Yellow Zone bed 36 — escalation capacity, crisis mode active</t>
        </is>
      </c>
    </row>
    <row r="89">
      <c r="A89" t="inlineStr">
        <is>
          <t>buyz37crisis</t>
        </is>
      </c>
      <c r="B89" t="inlineStr">
        <is>
          <t>ED BU</t>
        </is>
      </c>
      <c r="C89" t="inlineStr">
        <is>
          <t>yz</t>
        </is>
      </c>
      <c r="D89" t="inlineStr">
        <is>
          <t>Yellow Zone</t>
        </is>
      </c>
      <c r="E89" t="inlineStr">
        <is>
          <t>crisis</t>
        </is>
      </c>
      <c r="F89" t="inlineStr">
        <is>
          <t>ED BU Yellow Zone bed 37 — escalation capacity, crisis mode active</t>
        </is>
      </c>
    </row>
    <row r="90">
      <c r="A90" t="inlineStr">
        <is>
          <t>buyz38crisis</t>
        </is>
      </c>
      <c r="B90" t="inlineStr">
        <is>
          <t>ED BU</t>
        </is>
      </c>
      <c r="C90" t="inlineStr">
        <is>
          <t>yz</t>
        </is>
      </c>
      <c r="D90" t="inlineStr">
        <is>
          <t>Yellow Zone</t>
        </is>
      </c>
      <c r="E90" t="inlineStr">
        <is>
          <t>crisis</t>
        </is>
      </c>
      <c r="F90" t="inlineStr">
        <is>
          <t>ED BU Yellow Zone bed 38 — escalation capacity, crisis mode active</t>
        </is>
      </c>
    </row>
    <row r="91">
      <c r="A91" t="inlineStr">
        <is>
          <t>buyz39crisis</t>
        </is>
      </c>
      <c r="B91" t="inlineStr">
        <is>
          <t>ED BU</t>
        </is>
      </c>
      <c r="C91" t="inlineStr">
        <is>
          <t>yz</t>
        </is>
      </c>
      <c r="D91" t="inlineStr">
        <is>
          <t>Yellow Zone</t>
        </is>
      </c>
      <c r="E91" t="inlineStr">
        <is>
          <t>crisis</t>
        </is>
      </c>
      <c r="F91" t="inlineStr">
        <is>
          <t>ED BU Yellow Zone bed 39 — escalation capacity, crisis mode active</t>
        </is>
      </c>
    </row>
    <row r="92">
      <c r="A92" t="inlineStr">
        <is>
          <t>buyz40crisis</t>
        </is>
      </c>
      <c r="B92" t="inlineStr">
        <is>
          <t>ED BU</t>
        </is>
      </c>
      <c r="C92" t="inlineStr">
        <is>
          <t>yz</t>
        </is>
      </c>
      <c r="D92" t="inlineStr">
        <is>
          <t>Yellow Zone</t>
        </is>
      </c>
      <c r="E92" t="inlineStr">
        <is>
          <t>crisis</t>
        </is>
      </c>
      <c r="F92" t="inlineStr">
        <is>
          <t>ED BU Yellow Zone bed 40 — escalation capacity, crisis mode active</t>
        </is>
      </c>
    </row>
    <row r="93">
      <c r="A93" t="inlineStr">
        <is>
          <t>buyz41crisis</t>
        </is>
      </c>
      <c r="B93" t="inlineStr">
        <is>
          <t>ED BU</t>
        </is>
      </c>
      <c r="C93" t="inlineStr">
        <is>
          <t>yz</t>
        </is>
      </c>
      <c r="D93" t="inlineStr">
        <is>
          <t>Yellow Zone</t>
        </is>
      </c>
      <c r="E93" t="inlineStr">
        <is>
          <t>crisis</t>
        </is>
      </c>
      <c r="F93" t="inlineStr">
        <is>
          <t>ED BU Yellow Zone bed 41 — escalation capacity, crisis mode active</t>
        </is>
      </c>
    </row>
    <row r="94">
      <c r="A94" t="inlineStr">
        <is>
          <t>buyz42crisis</t>
        </is>
      </c>
      <c r="B94" t="inlineStr">
        <is>
          <t>ED BU</t>
        </is>
      </c>
      <c r="C94" t="inlineStr">
        <is>
          <t>yz</t>
        </is>
      </c>
      <c r="D94" t="inlineStr">
        <is>
          <t>Yellow Zone</t>
        </is>
      </c>
      <c r="E94" t="inlineStr">
        <is>
          <t>crisis</t>
        </is>
      </c>
      <c r="F94" t="inlineStr">
        <is>
          <t>ED BU Yellow Zone bed 42 — escalation capacity, crisis mode active</t>
        </is>
      </c>
    </row>
    <row r="95">
      <c r="A95" t="inlineStr">
        <is>
          <t>buyz43crisis</t>
        </is>
      </c>
      <c r="B95" t="inlineStr">
        <is>
          <t>ED BU</t>
        </is>
      </c>
      <c r="C95" t="inlineStr">
        <is>
          <t>yz</t>
        </is>
      </c>
      <c r="D95" t="inlineStr">
        <is>
          <t>Yellow Zone</t>
        </is>
      </c>
      <c r="E95" t="inlineStr">
        <is>
          <t>crisis</t>
        </is>
      </c>
      <c r="F95" t="inlineStr">
        <is>
          <t>ED BU Yellow Zone bed 43 — escalation capacity, crisis mode active</t>
        </is>
      </c>
    </row>
    <row r="96">
      <c r="A96" t="inlineStr">
        <is>
          <t>buyz44crisis</t>
        </is>
      </c>
      <c r="B96" t="inlineStr">
        <is>
          <t>ED BU</t>
        </is>
      </c>
      <c r="C96" t="inlineStr">
        <is>
          <t>yz</t>
        </is>
      </c>
      <c r="D96" t="inlineStr">
        <is>
          <t>Yellow Zone</t>
        </is>
      </c>
      <c r="E96" t="inlineStr">
        <is>
          <t>crisis</t>
        </is>
      </c>
      <c r="F96" t="inlineStr">
        <is>
          <t>ED BU Yellow Zone bed 44 — escalation capacity, crisis mode active</t>
        </is>
      </c>
    </row>
    <row r="97">
      <c r="A97" t="inlineStr">
        <is>
          <t>buyz45crisis</t>
        </is>
      </c>
      <c r="B97" t="inlineStr">
        <is>
          <t>ED BU</t>
        </is>
      </c>
      <c r="C97" t="inlineStr">
        <is>
          <t>yz</t>
        </is>
      </c>
      <c r="D97" t="inlineStr">
        <is>
          <t>Yellow Zone</t>
        </is>
      </c>
      <c r="E97" t="inlineStr">
        <is>
          <t>crisis</t>
        </is>
      </c>
      <c r="F97" t="inlineStr">
        <is>
          <t>ED BU Yellow Zone bed 45 — escalation capacity, crisis mode active</t>
        </is>
      </c>
    </row>
    <row r="98">
      <c r="A98" t="inlineStr">
        <is>
          <t>buyz46crisis</t>
        </is>
      </c>
      <c r="B98" t="inlineStr">
        <is>
          <t>ED BU</t>
        </is>
      </c>
      <c r="C98" t="inlineStr">
        <is>
          <t>yz</t>
        </is>
      </c>
      <c r="D98" t="inlineStr">
        <is>
          <t>Yellow Zone</t>
        </is>
      </c>
      <c r="E98" t="inlineStr">
        <is>
          <t>crisis</t>
        </is>
      </c>
      <c r="F98" t="inlineStr">
        <is>
          <t>ED BU Yellow Zone bed 46 — escalation capacity, crisis mode active</t>
        </is>
      </c>
    </row>
    <row r="99">
      <c r="A99" t="inlineStr">
        <is>
          <t>buyz47crisis</t>
        </is>
      </c>
      <c r="B99" t="inlineStr">
        <is>
          <t>ED BU</t>
        </is>
      </c>
      <c r="C99" t="inlineStr">
        <is>
          <t>yz</t>
        </is>
      </c>
      <c r="D99" t="inlineStr">
        <is>
          <t>Yellow Zone</t>
        </is>
      </c>
      <c r="E99" t="inlineStr">
        <is>
          <t>crisis</t>
        </is>
      </c>
      <c r="F99" t="inlineStr">
        <is>
          <t>ED BU Yellow Zone bed 47 — escalation capacity, crisis mode active</t>
        </is>
      </c>
    </row>
    <row r="100">
      <c r="A100" t="inlineStr">
        <is>
          <t>buyz48crisis</t>
        </is>
      </c>
      <c r="B100" t="inlineStr">
        <is>
          <t>ED BU</t>
        </is>
      </c>
      <c r="C100" t="inlineStr">
        <is>
          <t>yz</t>
        </is>
      </c>
      <c r="D100" t="inlineStr">
        <is>
          <t>Yellow Zone</t>
        </is>
      </c>
      <c r="E100" t="inlineStr">
        <is>
          <t>crisis</t>
        </is>
      </c>
      <c r="F100" t="inlineStr">
        <is>
          <t>ED BU Yellow Zone bed 48 — escalation capacity, crisis mode active</t>
        </is>
      </c>
    </row>
    <row r="101">
      <c r="A101" t="inlineStr">
        <is>
          <t>buyz49crisis</t>
        </is>
      </c>
      <c r="B101" t="inlineStr">
        <is>
          <t>ED BU</t>
        </is>
      </c>
      <c r="C101" t="inlineStr">
        <is>
          <t>yz</t>
        </is>
      </c>
      <c r="D101" t="inlineStr">
        <is>
          <t>Yellow Zone</t>
        </is>
      </c>
      <c r="E101" t="inlineStr">
        <is>
          <t>crisis</t>
        </is>
      </c>
      <c r="F101" t="inlineStr">
        <is>
          <t>ED BU Yellow Zone bed 49 — escalation capacity, crisis mode active</t>
        </is>
      </c>
    </row>
    <row r="102">
      <c r="A102" t="inlineStr">
        <is>
          <t>buyz50crisis</t>
        </is>
      </c>
      <c r="B102" t="inlineStr">
        <is>
          <t>ED BU</t>
        </is>
      </c>
      <c r="C102" t="inlineStr">
        <is>
          <t>yz</t>
        </is>
      </c>
      <c r="D102" t="inlineStr">
        <is>
          <t>Yellow Zone</t>
        </is>
      </c>
      <c r="E102" t="inlineStr">
        <is>
          <t>crisis</t>
        </is>
      </c>
      <c r="F102" t="inlineStr">
        <is>
          <t>ED BU Yellow Zone bed 50 — escalation capacity, crisis mode active</t>
        </is>
      </c>
    </row>
    <row r="103">
      <c r="A103" t="inlineStr">
        <is>
          <t>bugz01</t>
        </is>
      </c>
      <c r="B103" t="inlineStr">
        <is>
          <t>ED BU</t>
        </is>
      </c>
      <c r="C103" t="inlineStr">
        <is>
          <t>gz</t>
        </is>
      </c>
      <c r="D103" t="inlineStr">
        <is>
          <t>Green Zone</t>
        </is>
      </c>
      <c r="E103" t="inlineStr">
        <is>
          <t>funded</t>
        </is>
      </c>
      <c r="F103" t="inlineStr">
        <is>
          <t>ED BU Green Zone consultation room 01</t>
        </is>
      </c>
    </row>
    <row r="104">
      <c r="A104" t="inlineStr">
        <is>
          <t>bugz02</t>
        </is>
      </c>
      <c r="B104" t="inlineStr">
        <is>
          <t>ED BU</t>
        </is>
      </c>
      <c r="C104" t="inlineStr">
        <is>
          <t>gz</t>
        </is>
      </c>
      <c r="D104" t="inlineStr">
        <is>
          <t>Green Zone</t>
        </is>
      </c>
      <c r="E104" t="inlineStr">
        <is>
          <t>funded</t>
        </is>
      </c>
      <c r="F104" t="inlineStr">
        <is>
          <t>ED BU Green Zone consultation room 02</t>
        </is>
      </c>
    </row>
    <row r="105">
      <c r="A105" t="inlineStr">
        <is>
          <t>bugz-waiting</t>
        </is>
      </c>
      <c r="B105" t="inlineStr">
        <is>
          <t>ED BU</t>
        </is>
      </c>
      <c r="C105" t="inlineStr">
        <is>
          <t>gz</t>
        </is>
      </c>
      <c r="D105" t="inlineStr">
        <is>
          <t>Green Zone</t>
        </is>
      </c>
      <c r="E105" t="inlineStr">
        <is>
          <t>waiting</t>
        </is>
      </c>
      <c r="F105" t="inlineStr">
        <is>
          <t>ED BU Green Zone waiting area — holds a queue number, not a bed</t>
        </is>
      </c>
    </row>
    <row r="106">
      <c r="A106" t="inlineStr">
        <is>
          <t>wccpac01</t>
        </is>
      </c>
      <c r="B106" t="inlineStr">
        <is>
          <t>PAC WCC</t>
        </is>
      </c>
      <c r="C106" t="inlineStr">
        <is>
          <t>pac</t>
        </is>
      </c>
      <c r="D106" t="inlineStr">
        <is>
          <t>Patient Assessment Centre</t>
        </is>
      </c>
      <c r="E106" t="inlineStr">
        <is>
          <t>funded</t>
        </is>
      </c>
      <c r="F106" t="inlineStr">
        <is>
          <t>PAC WCC Patient Assessment Centre bed 01</t>
        </is>
      </c>
    </row>
    <row r="107">
      <c r="A107" t="inlineStr">
        <is>
          <t>wccpac02</t>
        </is>
      </c>
      <c r="B107" t="inlineStr">
        <is>
          <t>PAC WCC</t>
        </is>
      </c>
      <c r="C107" t="inlineStr">
        <is>
          <t>pac</t>
        </is>
      </c>
      <c r="D107" t="inlineStr">
        <is>
          <t>Patient Assessment Centre</t>
        </is>
      </c>
      <c r="E107" t="inlineStr">
        <is>
          <t>funded</t>
        </is>
      </c>
      <c r="F107" t="inlineStr">
        <is>
          <t>PAC WCC Patient Assessment Centre bed 02</t>
        </is>
      </c>
    </row>
    <row r="108">
      <c r="A108" t="inlineStr">
        <is>
          <t>wccpac03</t>
        </is>
      </c>
      <c r="B108" t="inlineStr">
        <is>
          <t>PAC WCC</t>
        </is>
      </c>
      <c r="C108" t="inlineStr">
        <is>
          <t>pac</t>
        </is>
      </c>
      <c r="D108" t="inlineStr">
        <is>
          <t>Patient Assessment Centre</t>
        </is>
      </c>
      <c r="E108" t="inlineStr">
        <is>
          <t>funded</t>
        </is>
      </c>
      <c r="F108" t="inlineStr">
        <is>
          <t>PAC WCC Patient Assessment Centre bed 03</t>
        </is>
      </c>
    </row>
    <row r="109">
      <c r="A109" t="inlineStr">
        <is>
          <t>wccpac04</t>
        </is>
      </c>
      <c r="B109" t="inlineStr">
        <is>
          <t>PAC WCC</t>
        </is>
      </c>
      <c r="C109" t="inlineStr">
        <is>
          <t>pac</t>
        </is>
      </c>
      <c r="D109" t="inlineStr">
        <is>
          <t>Patient Assessment Centre</t>
        </is>
      </c>
      <c r="E109" t="inlineStr">
        <is>
          <t>funded</t>
        </is>
      </c>
      <c r="F109" t="inlineStr">
        <is>
          <t>PAC WCC Patient Assessment Centre bed 04</t>
        </is>
      </c>
    </row>
    <row r="110">
      <c r="A110" t="inlineStr">
        <is>
          <t>wccpac05</t>
        </is>
      </c>
      <c r="B110" t="inlineStr">
        <is>
          <t>PAC WCC</t>
        </is>
      </c>
      <c r="C110" t="inlineStr">
        <is>
          <t>pac</t>
        </is>
      </c>
      <c r="D110" t="inlineStr">
        <is>
          <t>Patient Assessment Centre</t>
        </is>
      </c>
      <c r="E110" t="inlineStr">
        <is>
          <t>funded</t>
        </is>
      </c>
      <c r="F110" t="inlineStr">
        <is>
          <t>PAC WCC Patient Assessment Centre bed 05</t>
        </is>
      </c>
    </row>
    <row r="111">
      <c r="A111" t="inlineStr">
        <is>
          <t>wccpac06</t>
        </is>
      </c>
      <c r="B111" t="inlineStr">
        <is>
          <t>PAC WCC</t>
        </is>
      </c>
      <c r="C111" t="inlineStr">
        <is>
          <t>pac</t>
        </is>
      </c>
      <c r="D111" t="inlineStr">
        <is>
          <t>Patient Assessment Centre</t>
        </is>
      </c>
      <c r="E111" t="inlineStr">
        <is>
          <t>funded</t>
        </is>
      </c>
      <c r="F111" t="inlineStr">
        <is>
          <t>PAC WCC Patient Assessment Centre bed 06</t>
        </is>
      </c>
    </row>
    <row r="112">
      <c r="A112" t="inlineStr">
        <is>
          <t>wccpac07</t>
        </is>
      </c>
      <c r="B112" t="inlineStr">
        <is>
          <t>PAC WCC</t>
        </is>
      </c>
      <c r="C112" t="inlineStr">
        <is>
          <t>pac</t>
        </is>
      </c>
      <c r="D112" t="inlineStr">
        <is>
          <t>Patient Assessment Centre</t>
        </is>
      </c>
      <c r="E112" t="inlineStr">
        <is>
          <t>funded</t>
        </is>
      </c>
      <c r="F112" t="inlineStr">
        <is>
          <t>PAC WCC Patient Assessment Centre bed 07</t>
        </is>
      </c>
    </row>
    <row r="113">
      <c r="A113" t="inlineStr">
        <is>
          <t>wccpac08</t>
        </is>
      </c>
      <c r="B113" t="inlineStr">
        <is>
          <t>PAC WCC</t>
        </is>
      </c>
      <c r="C113" t="inlineStr">
        <is>
          <t>pac</t>
        </is>
      </c>
      <c r="D113" t="inlineStr">
        <is>
          <t>Patient Assessment Centre</t>
        </is>
      </c>
      <c r="E113" t="inlineStr">
        <is>
          <t>funded</t>
        </is>
      </c>
      <c r="F113" t="inlineStr">
        <is>
          <t>PAC WCC Patient Assessment Centre bed 08</t>
        </is>
      </c>
    </row>
    <row r="114">
      <c r="A114" t="inlineStr">
        <is>
          <t>wccpac09crisis</t>
        </is>
      </c>
      <c r="B114" t="inlineStr">
        <is>
          <t>PAC WCC</t>
        </is>
      </c>
      <c r="C114" t="inlineStr">
        <is>
          <t>pac</t>
        </is>
      </c>
      <c r="D114" t="inlineStr">
        <is>
          <t>Patient Assessment Centre</t>
        </is>
      </c>
      <c r="E114" t="inlineStr">
        <is>
          <t>crisis</t>
        </is>
      </c>
      <c r="F114" t="inlineStr">
        <is>
          <t>PAC WCC Patient Assessment Centre bed 09 — escalation capacity, crisis mode active</t>
        </is>
      </c>
    </row>
    <row r="115">
      <c r="A115" t="inlineStr">
        <is>
          <t>wccpac10crisis</t>
        </is>
      </c>
      <c r="B115" t="inlineStr">
        <is>
          <t>PAC WCC</t>
        </is>
      </c>
      <c r="C115" t="inlineStr">
        <is>
          <t>pac</t>
        </is>
      </c>
      <c r="D115" t="inlineStr">
        <is>
          <t>Patient Assessment Centre</t>
        </is>
      </c>
      <c r="E115" t="inlineStr">
        <is>
          <t>crisis</t>
        </is>
      </c>
      <c r="F115" t="inlineStr">
        <is>
          <t>PAC WCC Patient Assessment Centre bed 10 — escalation capacity, crisis mode active</t>
        </is>
      </c>
    </row>
    <row r="116">
      <c r="A116" t="inlineStr">
        <is>
          <t>wccpac11crisis</t>
        </is>
      </c>
      <c r="B116" t="inlineStr">
        <is>
          <t>PAC WCC</t>
        </is>
      </c>
      <c r="C116" t="inlineStr">
        <is>
          <t>pac</t>
        </is>
      </c>
      <c r="D116" t="inlineStr">
        <is>
          <t>Patient Assessment Centre</t>
        </is>
      </c>
      <c r="E116" t="inlineStr">
        <is>
          <t>crisis</t>
        </is>
      </c>
      <c r="F116" t="inlineStr">
        <is>
          <t>PAC WCC Patient Assessment Centre bed 11 — escalation capacity, crisis mode active</t>
        </is>
      </c>
    </row>
    <row r="117">
      <c r="A117" t="inlineStr">
        <is>
          <t>wccpac12crisis</t>
        </is>
      </c>
      <c r="B117" t="inlineStr">
        <is>
          <t>PAC WCC</t>
        </is>
      </c>
      <c r="C117" t="inlineStr">
        <is>
          <t>pac</t>
        </is>
      </c>
      <c r="D117" t="inlineStr">
        <is>
          <t>Patient Assessment Centre</t>
        </is>
      </c>
      <c r="E117" t="inlineStr">
        <is>
          <t>crisis</t>
        </is>
      </c>
      <c r="F117" t="inlineStr">
        <is>
          <t>PAC WCC Patient Assessment Centre bed 12 — escalation capacity, crisis mode active</t>
        </is>
      </c>
    </row>
    <row r="118">
      <c r="A118" t="inlineStr">
        <is>
          <t>wccpac13crisis</t>
        </is>
      </c>
      <c r="B118" t="inlineStr">
        <is>
          <t>PAC WCC</t>
        </is>
      </c>
      <c r="C118" t="inlineStr">
        <is>
          <t>pac</t>
        </is>
      </c>
      <c r="D118" t="inlineStr">
        <is>
          <t>Patient Assessment Centre</t>
        </is>
      </c>
      <c r="E118" t="inlineStr">
        <is>
          <t>crisis</t>
        </is>
      </c>
      <c r="F118" t="inlineStr">
        <is>
          <t>PAC WCC Patient Assessment Centre bed 13 — escalation capacity, crisis mode active</t>
        </is>
      </c>
    </row>
    <row r="119">
      <c r="A119" t="inlineStr">
        <is>
          <t>wccpac14crisis</t>
        </is>
      </c>
      <c r="B119" t="inlineStr">
        <is>
          <t>PAC WCC</t>
        </is>
      </c>
      <c r="C119" t="inlineStr">
        <is>
          <t>pac</t>
        </is>
      </c>
      <c r="D119" t="inlineStr">
        <is>
          <t>Patient Assessment Centre</t>
        </is>
      </c>
      <c r="E119" t="inlineStr">
        <is>
          <t>crisis</t>
        </is>
      </c>
      <c r="F119" t="inlineStr">
        <is>
          <t>PAC WCC Patient Assessment Centre bed 14 — escalation capacity, crisis mode active</t>
        </is>
      </c>
    </row>
    <row r="120">
      <c r="A120" t="inlineStr">
        <is>
          <t>wccpac15crisis</t>
        </is>
      </c>
      <c r="B120" t="inlineStr">
        <is>
          <t>PAC WCC</t>
        </is>
      </c>
      <c r="C120" t="inlineStr">
        <is>
          <t>pac</t>
        </is>
      </c>
      <c r="D120" t="inlineStr">
        <is>
          <t>Patient Assessment Centre</t>
        </is>
      </c>
      <c r="E120" t="inlineStr">
        <is>
          <t>crisis</t>
        </is>
      </c>
      <c r="F120" t="inlineStr">
        <is>
          <t>PAC WCC Patient Assessment Centre bed 15 — escalation capacity, crisis mode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2026-09-27T13:02:15Z</dcterms:created>
  <dcterms:modified xsi:type="dcterms:W3CDTF">2026-09-27T13:02:15Z</dcterms:modified>
</cp:coreProperties>
</file>